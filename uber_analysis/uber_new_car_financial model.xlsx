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37aa3415ac03aa/"/>
    </mc:Choice>
  </mc:AlternateContent>
  <xr:revisionPtr revIDLastSave="1787" documentId="8_{CBA71901-B23B-4878-B0FB-C4E29C186385}" xr6:coauthVersionLast="47" xr6:coauthVersionMax="47" xr10:uidLastSave="{9531D98C-9929-4881-8672-A62FBBC89E25}"/>
  <bookViews>
    <workbookView xWindow="-120" yWindow="-120" windowWidth="38640" windowHeight="21120" activeTab="2" xr2:uid="{77CADC3D-8BE8-4A5E-A69E-2300986E4129}"/>
  </bookViews>
  <sheets>
    <sheet name="Vehicle_Input" sheetId="4" r:id="rId1"/>
    <sheet name="Outputs" sheetId="1" r:id="rId2"/>
    <sheet name="Amortization" sheetId="2" r:id="rId3"/>
    <sheet name="Charging&gt;Miles" sheetId="3" r:id="rId4"/>
    <sheet name="Hertz" sheetId="5" r:id="rId5"/>
    <sheet name="Depreciation" sheetId="7" r:id="rId6"/>
    <sheet name="Earnings&amp;Savings" sheetId="6" r:id="rId7"/>
  </sheets>
  <definedNames>
    <definedName name="mileage_data">OFFSET('Charging&gt;Miles'!$A$1, 0, 0, COUNTA('Charging&gt;Miles'!$A:$A), 4)</definedName>
    <definedName name="PivotMileage">OFFSET('Charging&gt;Miles'!$G$5, 0, 0, COUNTA('Charging&gt;Miles'!$F$5:$F$100)-1, 1)</definedName>
    <definedName name="sample">'Charging&gt;Miles'!$C$14:$C$17</definedName>
    <definedName name="VehicleList">OFFSET(Vehicle_Input!$A$2, 0, 0, COUNTA(Vehicle_Input!$A:$A)-1, 1)</definedName>
  </definedNames>
  <calcPr calcId="191029"/>
  <pivotCaches>
    <pivotCache cacheId="0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2" i="2"/>
  <c r="J5" i="3"/>
  <c r="B9" i="1"/>
  <c r="B8" i="1"/>
  <c r="B53" i="1"/>
  <c r="B11" i="1"/>
  <c r="B10" i="1"/>
  <c r="B7" i="1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3" i="7"/>
  <c r="C4" i="5"/>
  <c r="D4" i="5"/>
  <c r="B4" i="5"/>
  <c r="D3" i="5"/>
  <c r="D2" i="5"/>
  <c r="C3" i="5"/>
  <c r="B3" i="5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B12" i="1"/>
  <c r="M4" i="2" s="1"/>
  <c r="B13" i="1"/>
  <c r="B6" i="1"/>
  <c r="B35" i="1" s="1"/>
  <c r="D52" i="1"/>
  <c r="J6" i="3"/>
  <c r="J10" i="3" s="1"/>
  <c r="D39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2" i="3"/>
  <c r="F2" i="3"/>
  <c r="B2" i="2"/>
  <c r="D53" i="1"/>
  <c r="D50" i="1"/>
  <c r="C50" i="1"/>
  <c r="J11" i="3" l="1"/>
  <c r="J12" i="3" s="1"/>
  <c r="J13" i="3" s="1"/>
  <c r="J8" i="3"/>
  <c r="B14" i="1"/>
  <c r="D3" i="7"/>
  <c r="K3" i="7"/>
  <c r="K6" i="7"/>
  <c r="K4" i="7"/>
  <c r="K8" i="7"/>
  <c r="K7" i="7"/>
  <c r="K5" i="7"/>
  <c r="A38" i="1"/>
  <c r="M3" i="2"/>
  <c r="A40" i="1"/>
  <c r="A39" i="1"/>
  <c r="A52" i="2"/>
  <c r="A26" i="2"/>
  <c r="A11" i="2"/>
  <c r="A27" i="2"/>
  <c r="A12" i="2"/>
  <c r="A54" i="2"/>
  <c r="A28" i="2"/>
  <c r="A13" i="2"/>
  <c r="A55" i="2"/>
  <c r="A29" i="2"/>
  <c r="A14" i="2"/>
  <c r="A33" i="2"/>
  <c r="A38" i="2"/>
  <c r="A20" i="2"/>
  <c r="A41" i="2"/>
  <c r="A24" i="2"/>
  <c r="A25" i="2"/>
  <c r="A53" i="2"/>
  <c r="A4" i="2"/>
  <c r="A23" i="2"/>
  <c r="A2" i="2"/>
  <c r="C2" i="2" s="1"/>
  <c r="A61" i="2"/>
  <c r="A34" i="2"/>
  <c r="A30" i="2"/>
  <c r="A15" i="2"/>
  <c r="A35" i="2"/>
  <c r="A31" i="2"/>
  <c r="A16" i="2"/>
  <c r="A57" i="2"/>
  <c r="A36" i="2"/>
  <c r="A17" i="2"/>
  <c r="A37" i="2"/>
  <c r="A18" i="2"/>
  <c r="A19" i="2"/>
  <c r="A5" i="2"/>
  <c r="A43" i="2"/>
  <c r="A44" i="2"/>
  <c r="A51" i="2"/>
  <c r="A56" i="2"/>
  <c r="A39" i="2"/>
  <c r="A21" i="2"/>
  <c r="A6" i="2"/>
  <c r="A7" i="2"/>
  <c r="A50" i="2"/>
  <c r="A45" i="2"/>
  <c r="A32" i="2"/>
  <c r="A58" i="2"/>
  <c r="A42" i="2"/>
  <c r="A9" i="2"/>
  <c r="A59" i="2"/>
  <c r="A3" i="2"/>
  <c r="A40" i="2"/>
  <c r="A47" i="2"/>
  <c r="A8" i="2"/>
  <c r="A60" i="2"/>
  <c r="A46" i="2"/>
  <c r="A22" i="2"/>
  <c r="A10" i="2"/>
  <c r="A48" i="2"/>
  <c r="A4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E4" i="7"/>
  <c r="E5" i="7" s="1"/>
  <c r="E6" i="7" s="1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C14" i="7"/>
  <c r="C11" i="7"/>
  <c r="C5" i="7"/>
  <c r="C6" i="7"/>
  <c r="C8" i="7"/>
  <c r="C9" i="7"/>
  <c r="C10" i="7"/>
  <c r="C4" i="7"/>
  <c r="D4" i="7" s="1"/>
  <c r="C7" i="7"/>
  <c r="C12" i="7"/>
  <c r="C13" i="7"/>
  <c r="C27" i="7"/>
  <c r="C28" i="7"/>
  <c r="C29" i="7"/>
  <c r="C30" i="7"/>
  <c r="C31" i="7"/>
  <c r="C32" i="7"/>
  <c r="C33" i="7"/>
  <c r="C34" i="7"/>
  <c r="C35" i="7"/>
  <c r="C36" i="7"/>
  <c r="C37" i="7"/>
  <c r="C38" i="7"/>
  <c r="C16" i="7"/>
  <c r="C15" i="7"/>
  <c r="C17" i="7"/>
  <c r="C18" i="7"/>
  <c r="C19" i="7"/>
  <c r="C20" i="7"/>
  <c r="C21" i="7"/>
  <c r="C22" i="7"/>
  <c r="C25" i="7"/>
  <c r="C23" i="7"/>
  <c r="C24" i="7"/>
  <c r="C26" i="7"/>
  <c r="C41" i="7"/>
  <c r="C42" i="7"/>
  <c r="C43" i="7"/>
  <c r="C44" i="7"/>
  <c r="C45" i="7"/>
  <c r="C46" i="7"/>
  <c r="C47" i="7"/>
  <c r="C48" i="7"/>
  <c r="C49" i="7"/>
  <c r="C40" i="7"/>
  <c r="C50" i="7"/>
  <c r="C39" i="7"/>
  <c r="C57" i="7"/>
  <c r="C59" i="7"/>
  <c r="C60" i="7"/>
  <c r="C58" i="7"/>
  <c r="C61" i="7"/>
  <c r="C62" i="7"/>
  <c r="C52" i="7"/>
  <c r="C63" i="7"/>
  <c r="C51" i="7"/>
  <c r="C53" i="7"/>
  <c r="C55" i="7"/>
  <c r="C54" i="7"/>
  <c r="C56" i="7"/>
  <c r="J17" i="3"/>
  <c r="F2" i="2"/>
  <c r="B15" i="1"/>
  <c r="M6" i="2"/>
  <c r="D7" i="2" s="1"/>
  <c r="D3" i="2" l="1"/>
  <c r="D5" i="7"/>
  <c r="D6" i="7" s="1"/>
  <c r="D7" i="7" s="1"/>
  <c r="F5" i="7"/>
  <c r="J3" i="2" s="1"/>
  <c r="F4" i="7"/>
  <c r="J2" i="2" s="1"/>
  <c r="D42" i="2"/>
  <c r="D13" i="2"/>
  <c r="D57" i="2"/>
  <c r="D2" i="2"/>
  <c r="D23" i="2"/>
  <c r="D6" i="2"/>
  <c r="D47" i="2"/>
  <c r="D37" i="2"/>
  <c r="D33" i="2"/>
  <c r="D59" i="2"/>
  <c r="D15" i="2"/>
  <c r="D58" i="2"/>
  <c r="D18" i="2"/>
  <c r="D61" i="2"/>
  <c r="D35" i="2"/>
  <c r="D60" i="2"/>
  <c r="D49" i="2"/>
  <c r="D50" i="2"/>
  <c r="D51" i="2"/>
  <c r="D43" i="2"/>
  <c r="D29" i="2"/>
  <c r="D32" i="2"/>
  <c r="D56" i="2"/>
  <c r="D20" i="2"/>
  <c r="D55" i="2"/>
  <c r="D53" i="2"/>
  <c r="D27" i="2"/>
  <c r="D10" i="2"/>
  <c r="D14" i="2"/>
  <c r="D21" i="2"/>
  <c r="D24" i="2"/>
  <c r="D31" i="2"/>
  <c r="D5" i="2"/>
  <c r="D30" i="2"/>
  <c r="D45" i="2"/>
  <c r="D17" i="2"/>
  <c r="D44" i="2"/>
  <c r="D48" i="2"/>
  <c r="D41" i="2"/>
  <c r="D46" i="2"/>
  <c r="D12" i="2"/>
  <c r="D25" i="2"/>
  <c r="D28" i="2"/>
  <c r="D34" i="2"/>
  <c r="D9" i="2"/>
  <c r="D8" i="2"/>
  <c r="D16" i="2"/>
  <c r="D11" i="2"/>
  <c r="D4" i="2"/>
  <c r="D36" i="2"/>
  <c r="D52" i="2"/>
  <c r="D22" i="2"/>
  <c r="D38" i="2"/>
  <c r="D19" i="2"/>
  <c r="D26" i="2"/>
  <c r="D39" i="2"/>
  <c r="D54" i="2"/>
  <c r="D40" i="2"/>
  <c r="F6" i="7" l="1"/>
  <c r="J4" i="2" s="1"/>
  <c r="D8" i="7"/>
  <c r="F7" i="7"/>
  <c r="J5" i="2" s="1"/>
  <c r="I2" i="2"/>
  <c r="C3" i="2" s="1"/>
  <c r="F3" i="2" s="1"/>
  <c r="I3" i="2" s="1"/>
  <c r="C4" i="2" s="1"/>
  <c r="F4" i="2" s="1"/>
  <c r="H2" i="2"/>
  <c r="G4" i="2" l="1"/>
  <c r="I4" i="2" s="1"/>
  <c r="C5" i="2" s="1"/>
  <c r="F5" i="2" s="1"/>
  <c r="H3" i="2"/>
  <c r="H4" i="2" s="1"/>
  <c r="D9" i="7"/>
  <c r="F8" i="7"/>
  <c r="J6" i="2" s="1"/>
  <c r="G5" i="2" l="1"/>
  <c r="I5" i="2" s="1"/>
  <c r="C6" i="2" s="1"/>
  <c r="H5" i="2"/>
  <c r="D10" i="7"/>
  <c r="F9" i="7"/>
  <c r="J7" i="2" s="1"/>
  <c r="F6" i="2" l="1"/>
  <c r="G6" i="2" s="1"/>
  <c r="H6" i="2" s="1"/>
  <c r="D11" i="7"/>
  <c r="F10" i="7"/>
  <c r="J8" i="2" s="1"/>
  <c r="I6" i="2" l="1"/>
  <c r="C7" i="2" s="1"/>
  <c r="F7" i="2" s="1"/>
  <c r="G7" i="2" s="1"/>
  <c r="H7" i="2" s="1"/>
  <c r="D12" i="7"/>
  <c r="F11" i="7"/>
  <c r="J9" i="2" s="1"/>
  <c r="D13" i="7" l="1"/>
  <c r="F12" i="7"/>
  <c r="J10" i="2" s="1"/>
  <c r="I7" i="2"/>
  <c r="C8" i="2" s="1"/>
  <c r="F8" i="2" s="1"/>
  <c r="G8" i="2" l="1"/>
  <c r="I8" i="2" s="1"/>
  <c r="C9" i="2" s="1"/>
  <c r="F13" i="7"/>
  <c r="J11" i="2" s="1"/>
  <c r="D14" i="7"/>
  <c r="H8" i="2"/>
  <c r="D15" i="7" l="1"/>
  <c r="F14" i="7"/>
  <c r="J12" i="2" s="1"/>
  <c r="F9" i="2"/>
  <c r="G9" i="2" l="1"/>
  <c r="I9" i="2" s="1"/>
  <c r="C10" i="2" s="1"/>
  <c r="D16" i="7"/>
  <c r="F15" i="7"/>
  <c r="J13" i="2" s="1"/>
  <c r="H9" i="2"/>
  <c r="D17" i="7" l="1"/>
  <c r="F16" i="7"/>
  <c r="J14" i="2" s="1"/>
  <c r="F10" i="2"/>
  <c r="G10" i="2" l="1"/>
  <c r="H10" i="2" s="1"/>
  <c r="D18" i="7"/>
  <c r="F17" i="7"/>
  <c r="J15" i="2" s="1"/>
  <c r="I10" i="2"/>
  <c r="C11" i="2" s="1"/>
  <c r="D19" i="7" l="1"/>
  <c r="F18" i="7"/>
  <c r="J16" i="2" s="1"/>
  <c r="F11" i="2"/>
  <c r="G11" i="2" l="1"/>
  <c r="H11" i="2" s="1"/>
  <c r="F19" i="7"/>
  <c r="J17" i="2" s="1"/>
  <c r="D20" i="7"/>
  <c r="I11" i="2"/>
  <c r="C12" i="2" s="1"/>
  <c r="D21" i="7" l="1"/>
  <c r="F20" i="7"/>
  <c r="J18" i="2" s="1"/>
  <c r="F12" i="2"/>
  <c r="G12" i="2" s="1"/>
  <c r="D22" i="7" l="1"/>
  <c r="F21" i="7"/>
  <c r="J19" i="2" s="1"/>
  <c r="I12" i="2"/>
  <c r="C13" i="2" s="1"/>
  <c r="H12" i="2"/>
  <c r="D23" i="7" l="1"/>
  <c r="F22" i="7"/>
  <c r="J20" i="2" s="1"/>
  <c r="F13" i="2"/>
  <c r="G13" i="2" s="1"/>
  <c r="D24" i="7" l="1"/>
  <c r="F23" i="7"/>
  <c r="J21" i="2" s="1"/>
  <c r="H13" i="2"/>
  <c r="B19" i="1"/>
  <c r="F24" i="7" l="1"/>
  <c r="J22" i="2" s="1"/>
  <c r="D25" i="7"/>
  <c r="I13" i="2"/>
  <c r="C14" i="2" s="1"/>
  <c r="F14" i="2" s="1"/>
  <c r="G14" i="2" l="1"/>
  <c r="I14" i="2" s="1"/>
  <c r="C15" i="2" s="1"/>
  <c r="F15" i="2" s="1"/>
  <c r="G15" i="2" s="1"/>
  <c r="D26" i="7"/>
  <c r="F25" i="7"/>
  <c r="J23" i="2" s="1"/>
  <c r="H14" i="2"/>
  <c r="D27" i="7" l="1"/>
  <c r="F26" i="7"/>
  <c r="J24" i="2" s="1"/>
  <c r="I15" i="2"/>
  <c r="C16" i="2" s="1"/>
  <c r="F16" i="2" s="1"/>
  <c r="G16" i="2" s="1"/>
  <c r="D28" i="7" l="1"/>
  <c r="F27" i="7"/>
  <c r="J25" i="2" s="1"/>
  <c r="H15" i="2"/>
  <c r="I16" i="2"/>
  <c r="C17" i="2" s="1"/>
  <c r="D29" i="7" l="1"/>
  <c r="F28" i="7"/>
  <c r="J26" i="2" s="1"/>
  <c r="H16" i="2"/>
  <c r="F17" i="2"/>
  <c r="G17" i="2" s="1"/>
  <c r="D30" i="7" l="1"/>
  <c r="F29" i="7"/>
  <c r="J27" i="2" s="1"/>
  <c r="I17" i="2"/>
  <c r="C18" i="2" s="1"/>
  <c r="D31" i="7" l="1"/>
  <c r="F30" i="7"/>
  <c r="J28" i="2" s="1"/>
  <c r="H17" i="2"/>
  <c r="F18" i="2"/>
  <c r="G18" i="2" s="1"/>
  <c r="F31" i="7" l="1"/>
  <c r="J29" i="2" s="1"/>
  <c r="D32" i="7"/>
  <c r="I18" i="2"/>
  <c r="C19" i="2" s="1"/>
  <c r="F19" i="2" s="1"/>
  <c r="G19" i="2" s="1"/>
  <c r="F32" i="7" l="1"/>
  <c r="J30" i="2" s="1"/>
  <c r="D33" i="7"/>
  <c r="H18" i="2"/>
  <c r="H19" i="2" s="1"/>
  <c r="I19" i="2"/>
  <c r="C20" i="2" s="1"/>
  <c r="D34" i="7" l="1"/>
  <c r="F33" i="7"/>
  <c r="J31" i="2" s="1"/>
  <c r="F20" i="2"/>
  <c r="G20" i="2" l="1"/>
  <c r="H20" i="2" s="1"/>
  <c r="D35" i="7"/>
  <c r="F34" i="7"/>
  <c r="J32" i="2" s="1"/>
  <c r="I20" i="2"/>
  <c r="C21" i="2" s="1"/>
  <c r="F35" i="7" l="1"/>
  <c r="J33" i="2" s="1"/>
  <c r="D36" i="7"/>
  <c r="F21" i="2"/>
  <c r="G21" i="2" l="1"/>
  <c r="H21" i="2" s="1"/>
  <c r="D37" i="7"/>
  <c r="F36" i="7"/>
  <c r="J34" i="2" s="1"/>
  <c r="I21" i="2"/>
  <c r="C22" i="2" s="1"/>
  <c r="D38" i="7" l="1"/>
  <c r="F37" i="7"/>
  <c r="J35" i="2" s="1"/>
  <c r="F22" i="2"/>
  <c r="G22" i="2" l="1"/>
  <c r="H22" i="2" s="1"/>
  <c r="D39" i="7"/>
  <c r="F38" i="7"/>
  <c r="J36" i="2" s="1"/>
  <c r="I22" i="2"/>
  <c r="C23" i="2" s="1"/>
  <c r="F39" i="7" l="1"/>
  <c r="J37" i="2" s="1"/>
  <c r="D40" i="7"/>
  <c r="F23" i="2"/>
  <c r="G23" i="2" l="1"/>
  <c r="H23" i="2" s="1"/>
  <c r="D41" i="7"/>
  <c r="F40" i="7"/>
  <c r="J38" i="2" s="1"/>
  <c r="I23" i="2"/>
  <c r="C24" i="2" s="1"/>
  <c r="D42" i="7" l="1"/>
  <c r="F41" i="7"/>
  <c r="J39" i="2" s="1"/>
  <c r="F24" i="2"/>
  <c r="G24" i="2" l="1"/>
  <c r="H24" i="2" s="1"/>
  <c r="D43" i="7"/>
  <c r="F42" i="7"/>
  <c r="J40" i="2" s="1"/>
  <c r="I24" i="2"/>
  <c r="C25" i="2" s="1"/>
  <c r="F25" i="2" s="1"/>
  <c r="G25" i="2" s="1"/>
  <c r="D44" i="7" l="1"/>
  <c r="F43" i="7"/>
  <c r="J41" i="2" s="1"/>
  <c r="B20" i="1"/>
  <c r="F44" i="7" l="1"/>
  <c r="J42" i="2" s="1"/>
  <c r="D45" i="7"/>
  <c r="I25" i="2"/>
  <c r="C26" i="2" s="1"/>
  <c r="F26" i="2" s="1"/>
  <c r="H25" i="2"/>
  <c r="G26" i="2" l="1"/>
  <c r="I26" i="2" s="1"/>
  <c r="C27" i="2" s="1"/>
  <c r="F27" i="2" s="1"/>
  <c r="D46" i="7"/>
  <c r="F45" i="7"/>
  <c r="J43" i="2" s="1"/>
  <c r="H26" i="2"/>
  <c r="G27" i="2" l="1"/>
  <c r="I27" i="2" s="1"/>
  <c r="C28" i="2" s="1"/>
  <c r="H27" i="2"/>
  <c r="D47" i="7"/>
  <c r="F46" i="7"/>
  <c r="J44" i="2" s="1"/>
  <c r="F28" i="2" l="1"/>
  <c r="G28" i="2" s="1"/>
  <c r="I28" i="2" s="1"/>
  <c r="C29" i="2" s="1"/>
  <c r="D48" i="7"/>
  <c r="F47" i="7"/>
  <c r="J45" i="2" s="1"/>
  <c r="H28" i="2"/>
  <c r="F29" i="2" l="1"/>
  <c r="G29" i="2" s="1"/>
  <c r="I29" i="2"/>
  <c r="C30" i="2" s="1"/>
  <c r="H29" i="2"/>
  <c r="D49" i="7"/>
  <c r="F48" i="7"/>
  <c r="J46" i="2" s="1"/>
  <c r="F30" i="2"/>
  <c r="G30" i="2" s="1"/>
  <c r="F49" i="7" l="1"/>
  <c r="J47" i="2" s="1"/>
  <c r="D50" i="7"/>
  <c r="H30" i="2"/>
  <c r="F50" i="7" l="1"/>
  <c r="J48" i="2" s="1"/>
  <c r="D51" i="7"/>
  <c r="I30" i="2"/>
  <c r="C31" i="2" s="1"/>
  <c r="F31" i="2" s="1"/>
  <c r="G31" i="2" l="1"/>
  <c r="I31" i="2" s="1"/>
  <c r="C32" i="2" s="1"/>
  <c r="F32" i="2" s="1"/>
  <c r="F51" i="7"/>
  <c r="J49" i="2" s="1"/>
  <c r="D52" i="7"/>
  <c r="H31" i="2"/>
  <c r="G32" i="2" l="1"/>
  <c r="I32" i="2" s="1"/>
  <c r="C33" i="2" s="1"/>
  <c r="F33" i="2" s="1"/>
  <c r="F52" i="7"/>
  <c r="J50" i="2" s="1"/>
  <c r="D53" i="7"/>
  <c r="H32" i="2" l="1"/>
  <c r="G33" i="2"/>
  <c r="H33" i="2" s="1"/>
  <c r="D54" i="7"/>
  <c r="F53" i="7"/>
  <c r="J51" i="2" s="1"/>
  <c r="I33" i="2" l="1"/>
  <c r="C34" i="2" s="1"/>
  <c r="F34" i="2" s="1"/>
  <c r="D55" i="7"/>
  <c r="F54" i="7"/>
  <c r="J52" i="2" s="1"/>
  <c r="G34" i="2" l="1"/>
  <c r="H34" i="2" s="1"/>
  <c r="D56" i="7"/>
  <c r="F55" i="7"/>
  <c r="J53" i="2" s="1"/>
  <c r="I34" i="2" l="1"/>
  <c r="C35" i="2" s="1"/>
  <c r="D57" i="7"/>
  <c r="F56" i="7"/>
  <c r="J54" i="2" s="1"/>
  <c r="F35" i="2" l="1"/>
  <c r="G35" i="2" s="1"/>
  <c r="H35" i="2" s="1"/>
  <c r="D58" i="7"/>
  <c r="F57" i="7"/>
  <c r="J55" i="2" s="1"/>
  <c r="I35" i="2" l="1"/>
  <c r="C36" i="2" s="1"/>
  <c r="F36" i="2" s="1"/>
  <c r="F58" i="7"/>
  <c r="J56" i="2" s="1"/>
  <c r="D59" i="7"/>
  <c r="G36" i="2" l="1"/>
  <c r="H36" i="2" s="1"/>
  <c r="F59" i="7"/>
  <c r="J57" i="2" s="1"/>
  <c r="D60" i="7"/>
  <c r="I36" i="2" l="1"/>
  <c r="C37" i="2" s="1"/>
  <c r="F60" i="7"/>
  <c r="J58" i="2" s="1"/>
  <c r="D61" i="7"/>
  <c r="F37" i="2" l="1"/>
  <c r="F61" i="7"/>
  <c r="J59" i="2" s="1"/>
  <c r="D62" i="7"/>
  <c r="G37" i="2" l="1"/>
  <c r="B21" i="1"/>
  <c r="D63" i="7"/>
  <c r="F63" i="7" s="1"/>
  <c r="J61" i="2" s="1"/>
  <c r="F62" i="7"/>
  <c r="J60" i="2" s="1"/>
  <c r="H37" i="2" l="1"/>
  <c r="I37" i="2"/>
  <c r="C38" i="2" s="1"/>
  <c r="F38" i="2" s="1"/>
  <c r="G38" i="2" l="1"/>
  <c r="I38" i="2" s="1"/>
  <c r="C39" i="2" s="1"/>
  <c r="F39" i="2" s="1"/>
  <c r="H38" i="2"/>
  <c r="G39" i="2" l="1"/>
  <c r="I39" i="2" s="1"/>
  <c r="C40" i="2" s="1"/>
  <c r="F40" i="2" s="1"/>
  <c r="H39" i="2" l="1"/>
  <c r="G40" i="2"/>
  <c r="I40" i="2" s="1"/>
  <c r="C41" i="2" s="1"/>
  <c r="F41" i="2" s="1"/>
  <c r="H40" i="2" l="1"/>
  <c r="G41" i="2"/>
  <c r="I41" i="2" s="1"/>
  <c r="C42" i="2" s="1"/>
  <c r="F42" i="2" s="1"/>
  <c r="H41" i="2" l="1"/>
  <c r="G42" i="2"/>
  <c r="I42" i="2" s="1"/>
  <c r="C43" i="2" s="1"/>
  <c r="F43" i="2" s="1"/>
  <c r="H42" i="2" l="1"/>
  <c r="G43" i="2"/>
  <c r="I43" i="2" s="1"/>
  <c r="C44" i="2" s="1"/>
  <c r="F44" i="2" s="1"/>
  <c r="H43" i="2" l="1"/>
  <c r="G44" i="2"/>
  <c r="I44" i="2" s="1"/>
  <c r="C45" i="2" s="1"/>
  <c r="F45" i="2" s="1"/>
  <c r="H44" i="2" l="1"/>
  <c r="G45" i="2"/>
  <c r="I45" i="2" s="1"/>
  <c r="C46" i="2" s="1"/>
  <c r="F46" i="2" s="1"/>
  <c r="H45" i="2"/>
  <c r="G46" i="2" l="1"/>
  <c r="I46" i="2" s="1"/>
  <c r="C47" i="2" s="1"/>
  <c r="F47" i="2" s="1"/>
  <c r="H46" i="2" l="1"/>
  <c r="G47" i="2"/>
  <c r="I47" i="2" s="1"/>
  <c r="C48" i="2" s="1"/>
  <c r="F48" i="2" s="1"/>
  <c r="H47" i="2" l="1"/>
  <c r="G48" i="2"/>
  <c r="I48" i="2" s="1"/>
  <c r="C49" i="2" s="1"/>
  <c r="F49" i="2" s="1"/>
  <c r="H48" i="2" l="1"/>
  <c r="G49" i="2"/>
  <c r="I49" i="2" s="1"/>
  <c r="C50" i="2" s="1"/>
  <c r="F50" i="2" s="1"/>
  <c r="H49" i="2" l="1"/>
  <c r="G50" i="2"/>
  <c r="I50" i="2" s="1"/>
  <c r="C51" i="2" s="1"/>
  <c r="F51" i="2" s="1"/>
  <c r="G51" i="2" l="1"/>
  <c r="I51" i="2" s="1"/>
  <c r="C52" i="2" s="1"/>
  <c r="F52" i="2" s="1"/>
  <c r="H50" i="2"/>
  <c r="H51" i="2" l="1"/>
  <c r="G52" i="2"/>
  <c r="I52" i="2" s="1"/>
  <c r="C53" i="2" s="1"/>
  <c r="F53" i="2" s="1"/>
  <c r="H52" i="2" l="1"/>
  <c r="G53" i="2"/>
  <c r="I53" i="2" s="1"/>
  <c r="C54" i="2" s="1"/>
  <c r="F54" i="2" s="1"/>
  <c r="H53" i="2" l="1"/>
  <c r="G54" i="2"/>
  <c r="I54" i="2" s="1"/>
  <c r="C55" i="2" s="1"/>
  <c r="F55" i="2" s="1"/>
  <c r="H54" i="2"/>
  <c r="G55" i="2" l="1"/>
  <c r="I55" i="2" s="1"/>
  <c r="C56" i="2" s="1"/>
  <c r="F56" i="2" s="1"/>
  <c r="H55" i="2"/>
  <c r="G56" i="2" l="1"/>
  <c r="I56" i="2" s="1"/>
  <c r="C57" i="2" s="1"/>
  <c r="F57" i="2" s="1"/>
  <c r="H56" i="2"/>
  <c r="G57" i="2" l="1"/>
  <c r="I57" i="2" s="1"/>
  <c r="C58" i="2" s="1"/>
  <c r="F58" i="2" s="1"/>
  <c r="H57" i="2"/>
  <c r="G58" i="2" l="1"/>
  <c r="I58" i="2" s="1"/>
  <c r="C59" i="2" s="1"/>
  <c r="F59" i="2" s="1"/>
  <c r="H58" i="2"/>
  <c r="G59" i="2" l="1"/>
  <c r="I59" i="2" s="1"/>
  <c r="C60" i="2" s="1"/>
  <c r="F60" i="2" s="1"/>
  <c r="H59" i="2"/>
  <c r="G60" i="2" l="1"/>
  <c r="I60" i="2" s="1"/>
  <c r="C61" i="2" s="1"/>
  <c r="H60" i="2" l="1"/>
  <c r="F61" i="2"/>
  <c r="G61" i="2" l="1"/>
  <c r="B16" i="1"/>
  <c r="I61" i="2" l="1"/>
  <c r="H6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Brett Alan</author>
  </authors>
  <commentList>
    <comment ref="A36" authorId="0" shapeId="0" xr:uid="{6E5E3588-225A-4114-86C2-C97B5404C4F5}">
      <text>
        <r>
          <rPr>
            <b/>
            <sz val="9"/>
            <color indexed="81"/>
            <rFont val="Tahoma"/>
            <family val="2"/>
          </rPr>
          <t>Brett Alan:</t>
        </r>
        <r>
          <rPr>
            <sz val="9"/>
            <color indexed="81"/>
            <rFont val="Tahoma"/>
            <family val="2"/>
          </rPr>
          <t xml:space="preserve">
Insurance/4
Tires/14 (months)
New Car/24
</t>
        </r>
      </text>
    </comment>
  </commentList>
</comments>
</file>

<file path=xl/sharedStrings.xml><?xml version="1.0" encoding="utf-8"?>
<sst xmlns="http://schemas.openxmlformats.org/spreadsheetml/2006/main" count="125" uniqueCount="109">
  <si>
    <t>New Car Price</t>
  </si>
  <si>
    <t>APR</t>
  </si>
  <si>
    <t>Payment Amount</t>
  </si>
  <si>
    <t>Dollar Amount ($)</t>
  </si>
  <si>
    <t>Loan Term (months)60</t>
  </si>
  <si>
    <t>Down Payment + Trade IN</t>
  </si>
  <si>
    <t>Total Payments</t>
  </si>
  <si>
    <t>Weekly Average</t>
  </si>
  <si>
    <t>Costs</t>
  </si>
  <si>
    <t>Weekly Energy Costs</t>
  </si>
  <si>
    <t>Weekly Car Wash</t>
  </si>
  <si>
    <t>Annualized</t>
  </si>
  <si>
    <t>Monthly</t>
  </si>
  <si>
    <t>Weekly Amount ($)</t>
  </si>
  <si>
    <t>Note: annual costs are divided by 52</t>
  </si>
  <si>
    <t>Net Income Before Depreciation</t>
  </si>
  <si>
    <t>Net Income After Depreciation</t>
  </si>
  <si>
    <t>Payment Number</t>
  </si>
  <si>
    <t>Payment Date</t>
  </si>
  <si>
    <t>Beginning Balance</t>
  </si>
  <si>
    <t>Interest Paid</t>
  </si>
  <si>
    <t>Principal Paid</t>
  </si>
  <si>
    <t>Ending Balance</t>
  </si>
  <si>
    <t>Total Interest Paid at end of Loan</t>
  </si>
  <si>
    <t>Depreciation</t>
  </si>
  <si>
    <t>Car value after  x months</t>
  </si>
  <si>
    <t xml:space="preserve">Starting Date </t>
  </si>
  <si>
    <t>Loan Amount</t>
  </si>
  <si>
    <t>Annual Interest Rate</t>
  </si>
  <si>
    <t>Loan Term (Months)</t>
  </si>
  <si>
    <t>Miles Driven</t>
  </si>
  <si>
    <t>Estimated Full Charge</t>
  </si>
  <si>
    <t>kwh</t>
  </si>
  <si>
    <t>KwH</t>
  </si>
  <si>
    <t>Charge Date</t>
  </si>
  <si>
    <t>Estimated Mileage</t>
  </si>
  <si>
    <t>KwH to Miles Ratio</t>
  </si>
  <si>
    <t xml:space="preserve">Wk </t>
  </si>
  <si>
    <t>Row Labels</t>
  </si>
  <si>
    <t>Sum of Estimated Mileage</t>
  </si>
  <si>
    <t>Average Weekly Mileage</t>
  </si>
  <si>
    <t>Average Monthly Mileage</t>
  </si>
  <si>
    <t>Tax Year</t>
  </si>
  <si>
    <t>2022- 2</t>
  </si>
  <si>
    <t>2022-A</t>
  </si>
  <si>
    <t>$/mile range</t>
  </si>
  <si>
    <t>Annual Tax Savings</t>
  </si>
  <si>
    <t>Loan Terms</t>
  </si>
  <si>
    <t>Vehicle</t>
  </si>
  <si>
    <t>Model Y</t>
  </si>
  <si>
    <t>Monthly Avg Savings</t>
  </si>
  <si>
    <t>Savings</t>
  </si>
  <si>
    <t>Vehicle:</t>
  </si>
  <si>
    <t>Mach E</t>
  </si>
  <si>
    <t>Trade-In Value</t>
  </si>
  <si>
    <t>Mileage/Year</t>
  </si>
  <si>
    <t>Trade In Value</t>
  </si>
  <si>
    <t>Interest Paid:</t>
  </si>
  <si>
    <t>1st year</t>
  </si>
  <si>
    <t>2nd year</t>
  </si>
  <si>
    <t>3rd year</t>
  </si>
  <si>
    <t>Grand Total</t>
  </si>
  <si>
    <t>Expected Mileage After Year:</t>
  </si>
  <si>
    <t>Weekly Breakeven</t>
  </si>
  <si>
    <t>Weekly Fee</t>
  </si>
  <si>
    <t>Hertz Fees</t>
  </si>
  <si>
    <t>Insurance</t>
  </si>
  <si>
    <t>Total</t>
  </si>
  <si>
    <t>Hertz vs Owning</t>
  </si>
  <si>
    <t>Yearly</t>
  </si>
  <si>
    <t>Rental</t>
  </si>
  <si>
    <t>Hertz</t>
  </si>
  <si>
    <t>Owning</t>
  </si>
  <si>
    <t>Tires</t>
  </si>
  <si>
    <t>CarWashes</t>
  </si>
  <si>
    <t>Misc. Costs</t>
  </si>
  <si>
    <t>Reserves Balance</t>
  </si>
  <si>
    <t>APR List</t>
  </si>
  <si>
    <t>Taxes and Fees</t>
  </si>
  <si>
    <t>Mileage Depreciation Factor:</t>
  </si>
  <si>
    <t>A (Months)</t>
  </si>
  <si>
    <t>B (Years)</t>
  </si>
  <si>
    <t>C (Depreciation Factor)</t>
  </si>
  <si>
    <t>Annual List Range</t>
  </si>
  <si>
    <t>Monthly Depreciation Table</t>
  </si>
  <si>
    <t>Month</t>
  </si>
  <si>
    <t>Annual Factor</t>
  </si>
  <si>
    <t>Tax Credit</t>
  </si>
  <si>
    <t>Trade In Value Before Mileage</t>
  </si>
  <si>
    <t>Monthly Depreciation Factor
(based on 15000 miles)</t>
  </si>
  <si>
    <t>Expected Mileage</t>
  </si>
  <si>
    <t>Value After 
Mileage Pentalty</t>
  </si>
  <si>
    <t>Tires (~70 weeks)</t>
  </si>
  <si>
    <t>Reserves</t>
  </si>
  <si>
    <t>Trade In Value = Principle Paid</t>
  </si>
  <si>
    <t>Principle Paid Deadline (months)</t>
  </si>
  <si>
    <t>&lt;&lt;&lt;&lt;&lt;</t>
  </si>
  <si>
    <t>Avg Monthly Payment Required to Meet Deadline</t>
  </si>
  <si>
    <t>Equity</t>
  </si>
  <si>
    <t>Lexus ES 300H</t>
  </si>
  <si>
    <t>Expected Trade In Value after  x year(s)</t>
  </si>
  <si>
    <t>Starting Mileage</t>
  </si>
  <si>
    <t>Starting Mileage:</t>
  </si>
  <si>
    <t>Monthly Min Payment</t>
  </si>
  <si>
    <t>Monthly Avg Payment</t>
  </si>
  <si>
    <t>Loan Term</t>
  </si>
  <si>
    <t>Min Payment Amount</t>
  </si>
  <si>
    <t>Excess Min Payment Amount</t>
  </si>
  <si>
    <t>Trade Value-Equity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</si>
</sst>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3" formatCode="_(* #,##0.00_);_(* \(#,##0.00\);_(* &quot;-&quot;??_);_(@_)"/>
    <numFmt numFmtId="164" formatCode="m/d/yy;@"/>
    <numFmt numFmtId="165" formatCode="0.000"/>
    <numFmt numFmtId="166" formatCode="_(* #,##0.0_);_(* \(#,##0.0\);_(* &quot;-&quot;??_);_(@_)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medium">
        <color theme="1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9">
    <xf numFmtId="0" fontId="0" fillId="0" borderId="0" xfId="0"/>
    <xf numFmtId="8" fontId="0" fillId="0" borderId="0" xfId="0" applyNumberFormat="1"/>
    <xf numFmtId="0" fontId="0" fillId="0" borderId="1" xfId="0" applyBorder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16" fontId="0" fillId="0" borderId="0" xfId="0" applyNumberFormat="1"/>
    <xf numFmtId="14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pivotButton="1"/>
    <xf numFmtId="16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/>
    <xf numFmtId="3" fontId="0" fillId="0" borderId="0" xfId="0" applyNumberFormat="1" applyProtection="1">
      <protection locked="0"/>
    </xf>
    <xf numFmtId="0" fontId="2" fillId="0" borderId="0" xfId="0" applyFont="1" applyProtection="1">
      <protection locked="0"/>
    </xf>
    <xf numFmtId="3" fontId="0" fillId="0" borderId="0" xfId="0" applyNumberFormat="1" applyAlignment="1" applyProtection="1">
      <alignment horizontal="right"/>
      <protection locked="0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8" fontId="2" fillId="3" borderId="0" xfId="0" applyNumberFormat="1" applyFont="1" applyFill="1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0" fontId="1" fillId="4" borderId="0" xfId="0" applyFont="1" applyFill="1" applyAlignment="1">
      <alignment horizontal="center" vertical="center" wrapText="1"/>
    </xf>
    <xf numFmtId="0" fontId="0" fillId="5" borderId="2" xfId="0" applyFill="1" applyBorder="1" applyAlignment="1">
      <alignment vertical="center" wrapText="1"/>
    </xf>
    <xf numFmtId="0" fontId="0" fillId="5" borderId="2" xfId="0" applyFill="1" applyBorder="1"/>
    <xf numFmtId="0" fontId="1" fillId="0" borderId="1" xfId="0" applyFont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" fontId="0" fillId="0" borderId="10" xfId="0" applyNumberFormat="1" applyBorder="1"/>
    <xf numFmtId="0" fontId="0" fillId="0" borderId="11" xfId="0" applyBorder="1"/>
    <xf numFmtId="1" fontId="0" fillId="0" borderId="11" xfId="0" applyNumberFormat="1" applyBorder="1"/>
    <xf numFmtId="1" fontId="0" fillId="0" borderId="12" xfId="0" applyNumberFormat="1" applyBorder="1"/>
    <xf numFmtId="0" fontId="1" fillId="0" borderId="11" xfId="0" applyFont="1" applyBorder="1" applyProtection="1">
      <protection locked="0"/>
    </xf>
    <xf numFmtId="8" fontId="0" fillId="2" borderId="14" xfId="0" applyNumberFormat="1" applyFill="1" applyBorder="1"/>
    <xf numFmtId="8" fontId="0" fillId="2" borderId="15" xfId="0" applyNumberFormat="1" applyFill="1" applyBorder="1"/>
    <xf numFmtId="0" fontId="1" fillId="8" borderId="16" xfId="0" applyFont="1" applyFill="1" applyBorder="1" applyAlignment="1" applyProtection="1">
      <alignment horizontal="center"/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1" fillId="7" borderId="21" xfId="0" applyFont="1" applyFill="1" applyBorder="1" applyAlignment="1" applyProtection="1">
      <alignment horizontal="center"/>
      <protection locked="0"/>
    </xf>
    <xf numFmtId="0" fontId="1" fillId="0" borderId="21" xfId="0" applyFont="1" applyBorder="1" applyProtection="1">
      <protection locked="0"/>
    </xf>
    <xf numFmtId="0" fontId="0" fillId="0" borderId="22" xfId="0" applyBorder="1" applyProtection="1">
      <protection locked="0"/>
    </xf>
    <xf numFmtId="8" fontId="0" fillId="2" borderId="22" xfId="0" applyNumberFormat="1" applyFill="1" applyBorder="1"/>
    <xf numFmtId="8" fontId="0" fillId="2" borderId="23" xfId="0" applyNumberFormat="1" applyFill="1" applyBorder="1"/>
    <xf numFmtId="8" fontId="0" fillId="0" borderId="0" xfId="0" applyNumberFormat="1" applyProtection="1">
      <protection locked="0"/>
    </xf>
    <xf numFmtId="0" fontId="0" fillId="0" borderId="22" xfId="0" applyBorder="1" applyAlignment="1" applyProtection="1">
      <alignment horizontal="right"/>
      <protection locked="0"/>
    </xf>
    <xf numFmtId="0" fontId="2" fillId="0" borderId="23" xfId="0" applyFont="1" applyBorder="1" applyAlignment="1" applyProtection="1">
      <alignment horizontal="right"/>
      <protection locked="0"/>
    </xf>
    <xf numFmtId="8" fontId="0" fillId="3" borderId="13" xfId="0" applyNumberFormat="1" applyFill="1" applyBorder="1" applyAlignment="1">
      <alignment horizontal="center"/>
    </xf>
    <xf numFmtId="165" fontId="0" fillId="0" borderId="10" xfId="0" applyNumberFormat="1" applyBorder="1"/>
    <xf numFmtId="0" fontId="0" fillId="0" borderId="12" xfId="0" applyBorder="1"/>
    <xf numFmtId="0" fontId="1" fillId="0" borderId="21" xfId="0" applyFont="1" applyBorder="1" applyAlignment="1" applyProtection="1">
      <alignment horizontal="center"/>
      <protection locked="0"/>
    </xf>
    <xf numFmtId="0" fontId="6" fillId="0" borderId="24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" fillId="6" borderId="10" xfId="0" applyFont="1" applyFill="1" applyBorder="1"/>
    <xf numFmtId="0" fontId="1" fillId="6" borderId="10" xfId="0" applyFont="1" applyFill="1" applyBorder="1" applyAlignment="1">
      <alignment horizontal="center" wrapText="1"/>
    </xf>
    <xf numFmtId="0" fontId="0" fillId="5" borderId="4" xfId="0" applyFill="1" applyBorder="1" applyAlignment="1">
      <alignment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166" fontId="0" fillId="3" borderId="0" xfId="1" applyNumberFormat="1" applyFont="1" applyFill="1"/>
    <xf numFmtId="0" fontId="1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ett Alan" refreshedDate="45640.618289120372" createdVersion="8" refreshedVersion="8" minRefreshableVersion="3" recordCount="89" xr:uid="{A79DC49E-AD60-4722-B281-7632637D25F6}">
  <cacheSource type="worksheet">
    <worksheetSource name="mileage_data"/>
  </cacheSource>
  <cacheFields count="6">
    <cacheField name="Charge Date" numFmtId="14">
      <sharedItems containsSemiMixedTypes="0" containsNonDate="0" containsDate="1" containsString="0" minDate="2024-07-10T00:00:00" maxDate="2024-12-18T00:00:00"/>
    </cacheField>
    <cacheField name="KwH" numFmtId="0">
      <sharedItems containsSemiMixedTypes="0" containsString="0" containsNumber="1" minValue="0" maxValue="85"/>
    </cacheField>
    <cacheField name="Estimated Mileage" numFmtId="0">
      <sharedItems containsSemiMixedTypes="0" containsString="0" containsNumber="1" minValue="0" maxValue="250.00000000000003"/>
    </cacheField>
    <cacheField name="Wk " numFmtId="16">
      <sharedItems containsSemiMixedTypes="0" containsNonDate="0" containsDate="1" containsString="0" minDate="2024-07-08T00:00:00" maxDate="2024-12-17T00:00:00" count="20">
        <d v="2024-12-09T00:00:00"/>
        <d v="2024-10-28T00:00:00"/>
        <d v="2024-10-21T00:00:00"/>
        <d v="2024-10-14T00:00:00"/>
        <d v="2024-10-07T00:00:00"/>
        <d v="2024-09-30T00:00:00"/>
        <d v="2024-11-25T00:00:00"/>
        <d v="2024-11-18T00:00:00"/>
        <d v="2024-11-11T00:00:00"/>
        <d v="2024-11-04T00:00:00"/>
        <d v="2024-12-02T00:00:00"/>
        <d v="2024-12-16T00:00:00"/>
        <d v="2024-09-09T00:00:00"/>
        <d v="2024-09-02T00:00:00"/>
        <d v="2024-08-12T00:00:00"/>
        <d v="2024-08-05T00:00:00"/>
        <d v="2024-07-29T00:00:00"/>
        <d v="2024-07-22T00:00:00"/>
        <d v="2024-07-15T00:00:00"/>
        <d v="2024-07-08T00:00:00"/>
      </sharedItems>
      <fieldGroup par="5"/>
    </cacheField>
    <cacheField name="Days (Wk )" numFmtId="0" databaseField="0">
      <fieldGroup base="3">
        <rangePr groupBy="days" startDate="2024-07-08T00:00:00" endDate="2024-12-17T00:00:00"/>
        <groupItems count="368">
          <s v="&lt;7/8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7/2024"/>
        </groupItems>
      </fieldGroup>
    </cacheField>
    <cacheField name="Months (Wk )" numFmtId="0" databaseField="0">
      <fieldGroup base="3">
        <rangePr groupBy="months" startDate="2024-07-08T00:00:00" endDate="2024-12-17T00:00:00"/>
        <groupItems count="14">
          <s v="&lt;7/8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7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d v="2024-12-12T00:00:00"/>
    <n v="68"/>
    <n v="200"/>
    <x v="0"/>
  </r>
  <r>
    <d v="2024-10-31T00:00:00"/>
    <n v="40.165999999999997"/>
    <n v="118.13529411764706"/>
    <x v="1"/>
  </r>
  <r>
    <d v="2024-10-30T00:00:00"/>
    <n v="47.252000000000002"/>
    <n v="138.97647058823532"/>
    <x v="1"/>
  </r>
  <r>
    <d v="2024-10-28T00:00:00"/>
    <n v="55.642000000000003"/>
    <n v="163.65294117647062"/>
    <x v="1"/>
  </r>
  <r>
    <d v="2024-10-27T00:00:00"/>
    <n v="66.191999999999993"/>
    <n v="194.68235294117648"/>
    <x v="2"/>
  </r>
  <r>
    <d v="2024-10-27T00:00:00"/>
    <n v="12.676"/>
    <n v="37.282352941176477"/>
    <x v="2"/>
  </r>
  <r>
    <d v="2024-10-24T00:00:00"/>
    <n v="45.18"/>
    <n v="132.88235294117649"/>
    <x v="2"/>
  </r>
  <r>
    <d v="2024-10-23T00:00:00"/>
    <n v="53.975000000000001"/>
    <n v="158.75000000000003"/>
    <x v="2"/>
  </r>
  <r>
    <d v="2024-10-20T00:00:00"/>
    <n v="56.656999999999996"/>
    <n v="166.63823529411764"/>
    <x v="3"/>
  </r>
  <r>
    <d v="2024-10-18T00:00:00"/>
    <n v="65.765000000000001"/>
    <n v="193.4264705882353"/>
    <x v="3"/>
  </r>
  <r>
    <d v="2024-10-16T00:00:00"/>
    <n v="47.692"/>
    <n v="140.27058823529413"/>
    <x v="3"/>
  </r>
  <r>
    <d v="2024-10-15T00:00:00"/>
    <n v="51.975000000000001"/>
    <n v="152.86764705882354"/>
    <x v="3"/>
  </r>
  <r>
    <d v="2024-10-14T00:00:00"/>
    <n v="56.969000000000001"/>
    <n v="167.55588235294118"/>
    <x v="3"/>
  </r>
  <r>
    <d v="2024-10-11T00:00:00"/>
    <n v="53.526000000000003"/>
    <n v="157.42941176470589"/>
    <x v="4"/>
  </r>
  <r>
    <d v="2024-10-06T00:00:00"/>
    <n v="57.463000000000001"/>
    <n v="169.00882352941179"/>
    <x v="5"/>
  </r>
  <r>
    <d v="2024-10-05T00:00:00"/>
    <n v="53.795999999999999"/>
    <n v="158.2235294117647"/>
    <x v="5"/>
  </r>
  <r>
    <d v="2024-11-27T00:00:00"/>
    <n v="54.682000000000002"/>
    <n v="160.8294117647059"/>
    <x v="6"/>
  </r>
  <r>
    <d v="2024-11-26T00:00:00"/>
    <n v="11.675000000000001"/>
    <n v="34.338235294117652"/>
    <x v="6"/>
  </r>
  <r>
    <d v="2024-11-21T00:00:00"/>
    <n v="39.853999999999999"/>
    <n v="117.21764705882353"/>
    <x v="7"/>
  </r>
  <r>
    <d v="2024-11-19T00:00:00"/>
    <n v="55.652999999999999"/>
    <n v="163.68529411764706"/>
    <x v="7"/>
  </r>
  <r>
    <d v="2024-11-18T00:00:00"/>
    <n v="51.656999999999996"/>
    <n v="151.93235294117648"/>
    <x v="7"/>
  </r>
  <r>
    <d v="2024-11-17T00:00:00"/>
    <n v="54.920999999999999"/>
    <n v="161.53235294117647"/>
    <x v="8"/>
  </r>
  <r>
    <d v="2024-11-14T00:00:00"/>
    <n v="41.712000000000003"/>
    <n v="122.68235294117649"/>
    <x v="8"/>
  </r>
  <r>
    <d v="2024-11-14T00:00:00"/>
    <n v="54.56"/>
    <n v="160.47058823529414"/>
    <x v="8"/>
  </r>
  <r>
    <d v="2024-11-12T00:00:00"/>
    <n v="42.926000000000002"/>
    <n v="126.2529411764706"/>
    <x v="8"/>
  </r>
  <r>
    <d v="2024-11-11T00:00:00"/>
    <n v="63.546999999999997"/>
    <n v="186.90294117647059"/>
    <x v="8"/>
  </r>
  <r>
    <d v="2024-11-08T00:00:00"/>
    <n v="59.228000000000002"/>
    <n v="174.20000000000002"/>
    <x v="9"/>
  </r>
  <r>
    <d v="2024-11-04T00:00:00"/>
    <n v="47.886000000000003"/>
    <n v="140.84117647058827"/>
    <x v="9"/>
  </r>
  <r>
    <d v="2024-11-03T00:00:00"/>
    <n v="64.569999999999993"/>
    <n v="189.91176470588235"/>
    <x v="1"/>
  </r>
  <r>
    <d v="2024-12-11T00:00:00"/>
    <n v="68.522000000000006"/>
    <n v="201.53529411764708"/>
    <x v="0"/>
  </r>
  <r>
    <d v="2024-12-10T00:00:00"/>
    <n v="61.16"/>
    <n v="179.88235294117646"/>
    <x v="0"/>
  </r>
  <r>
    <d v="2024-12-10T00:00:00"/>
    <n v="37.549999999999997"/>
    <n v="110.44117647058823"/>
    <x v="0"/>
  </r>
  <r>
    <d v="2024-12-10T00:00:00"/>
    <n v="0"/>
    <n v="0"/>
    <x v="0"/>
  </r>
  <r>
    <d v="2024-12-08T00:00:00"/>
    <n v="53.829000000000001"/>
    <n v="158.32058823529414"/>
    <x v="10"/>
  </r>
  <r>
    <d v="2024-12-07T00:00:00"/>
    <n v="38.627000000000002"/>
    <n v="113.60882352941178"/>
    <x v="10"/>
  </r>
  <r>
    <d v="2024-12-05T00:00:00"/>
    <n v="56.87"/>
    <n v="167.26470588235296"/>
    <x v="10"/>
  </r>
  <r>
    <d v="2024-12-01T00:00:00"/>
    <n v="70.117000000000004"/>
    <n v="206.22647058823532"/>
    <x v="6"/>
  </r>
  <r>
    <d v="2024-12-17T00:00:00"/>
    <n v="85"/>
    <n v="250.00000000000003"/>
    <x v="11"/>
  </r>
  <r>
    <d v="2024-12-12T00:00:00"/>
    <n v="32.520000000000003"/>
    <n v="95.647058823529434"/>
    <x v="0"/>
  </r>
  <r>
    <d v="2024-12-07T00:00:00"/>
    <n v="28.25"/>
    <n v="83.088235294117652"/>
    <x v="10"/>
  </r>
  <r>
    <d v="2024-12-05T00:00:00"/>
    <n v="31.39"/>
    <n v="92.32352941176471"/>
    <x v="10"/>
  </r>
  <r>
    <d v="2024-12-04T00:00:00"/>
    <n v="31.7"/>
    <n v="93.235294117647058"/>
    <x v="10"/>
  </r>
  <r>
    <d v="2024-12-04T00:00:00"/>
    <n v="49.46"/>
    <n v="145.47058823529414"/>
    <x v="10"/>
  </r>
  <r>
    <d v="2024-12-03T00:00:00"/>
    <n v="38.729999999999997"/>
    <n v="113.91176470588235"/>
    <x v="10"/>
  </r>
  <r>
    <d v="2024-11-29T00:00:00"/>
    <n v="59.48"/>
    <n v="174.94117647058823"/>
    <x v="6"/>
  </r>
  <r>
    <d v="2024-11-24T00:00:00"/>
    <n v="32.67"/>
    <n v="96.088235294117652"/>
    <x v="7"/>
  </r>
  <r>
    <d v="2024-11-23T00:00:00"/>
    <n v="48.2"/>
    <n v="141.76470588235296"/>
    <x v="7"/>
  </r>
  <r>
    <d v="2024-11-22T00:00:00"/>
    <n v="43.81"/>
    <n v="128.85294117647061"/>
    <x v="7"/>
  </r>
  <r>
    <d v="2024-11-16T00:00:00"/>
    <n v="64.92"/>
    <n v="190.94117647058826"/>
    <x v="8"/>
  </r>
  <r>
    <d v="2024-11-13T00:00:00"/>
    <n v="8.8000000000000007"/>
    <n v="25.882352941176475"/>
    <x v="8"/>
  </r>
  <r>
    <d v="2024-11-07T00:00:00"/>
    <n v="60.69"/>
    <n v="178.5"/>
    <x v="9"/>
  </r>
  <r>
    <d v="2024-11-01T00:00:00"/>
    <n v="58.04"/>
    <n v="170.70588235294119"/>
    <x v="1"/>
  </r>
  <r>
    <d v="2024-10-26T00:00:00"/>
    <n v="33.369999999999997"/>
    <n v="98.147058823529406"/>
    <x v="2"/>
  </r>
  <r>
    <d v="2024-10-22T00:00:00"/>
    <n v="37.909999999999997"/>
    <n v="111.5"/>
    <x v="2"/>
  </r>
  <r>
    <d v="2024-09-15T00:00:00"/>
    <n v="39.53"/>
    <n v="116.26470588235296"/>
    <x v="12"/>
  </r>
  <r>
    <d v="2024-09-14T00:00:00"/>
    <n v="31.8"/>
    <n v="93.529411764705884"/>
    <x v="12"/>
  </r>
  <r>
    <d v="2024-09-13T00:00:00"/>
    <n v="35.19"/>
    <n v="103.5"/>
    <x v="12"/>
  </r>
  <r>
    <d v="2024-09-11T00:00:00"/>
    <n v="31.12"/>
    <n v="91.529411764705898"/>
    <x v="12"/>
  </r>
  <r>
    <d v="2024-09-10T00:00:00"/>
    <n v="64.930000000000007"/>
    <n v="190.97058823529414"/>
    <x v="12"/>
  </r>
  <r>
    <d v="2024-09-08T00:00:00"/>
    <n v="39.85"/>
    <n v="117.20588235294119"/>
    <x v="13"/>
  </r>
  <r>
    <d v="2024-09-07T00:00:00"/>
    <n v="46.47"/>
    <n v="136.6764705882353"/>
    <x v="13"/>
  </r>
  <r>
    <d v="2024-09-06T00:00:00"/>
    <n v="41.15"/>
    <n v="121.02941176470588"/>
    <x v="13"/>
  </r>
  <r>
    <d v="2024-09-05T00:00:00"/>
    <n v="35.33"/>
    <n v="103.91176470588236"/>
    <x v="13"/>
  </r>
  <r>
    <d v="2024-09-04T00:00:00"/>
    <n v="60.66"/>
    <n v="178.41176470588235"/>
    <x v="13"/>
  </r>
  <r>
    <d v="2024-08-17T00:00:00"/>
    <n v="33.29"/>
    <n v="97.911764705882362"/>
    <x v="14"/>
  </r>
  <r>
    <d v="2024-08-15T00:00:00"/>
    <n v="44.81"/>
    <n v="131.79411764705884"/>
    <x v="14"/>
  </r>
  <r>
    <d v="2024-08-14T00:00:00"/>
    <n v="39.659999999999997"/>
    <n v="116.64705882352941"/>
    <x v="14"/>
  </r>
  <r>
    <d v="2024-08-11T00:00:00"/>
    <n v="40.71"/>
    <n v="119.73529411764707"/>
    <x v="15"/>
  </r>
  <r>
    <d v="2024-08-10T00:00:00"/>
    <n v="9.35"/>
    <n v="27.5"/>
    <x v="15"/>
  </r>
  <r>
    <d v="2024-08-05T00:00:00"/>
    <n v="36.299999999999997"/>
    <n v="106.76470588235294"/>
    <x v="15"/>
  </r>
  <r>
    <d v="2024-08-05T00:00:00"/>
    <n v="42.86"/>
    <n v="126.05882352941177"/>
    <x v="15"/>
  </r>
  <r>
    <d v="2024-08-04T00:00:00"/>
    <n v="39.6"/>
    <n v="116.47058823529413"/>
    <x v="16"/>
  </r>
  <r>
    <d v="2024-08-03T00:00:00"/>
    <n v="55.85"/>
    <n v="164.26470588235296"/>
    <x v="16"/>
  </r>
  <r>
    <d v="2024-08-02T00:00:00"/>
    <n v="24.38"/>
    <n v="71.705882352941174"/>
    <x v="16"/>
  </r>
  <r>
    <d v="2024-08-01T00:00:00"/>
    <n v="53.49"/>
    <n v="157.32352941176472"/>
    <x v="16"/>
  </r>
  <r>
    <d v="2024-08-01T00:00:00"/>
    <n v="10.72"/>
    <n v="31.529411764705888"/>
    <x v="16"/>
  </r>
  <r>
    <d v="2024-07-30T00:00:00"/>
    <n v="34.619999999999997"/>
    <n v="101.82352941176471"/>
    <x v="16"/>
  </r>
  <r>
    <d v="2024-07-27T00:00:00"/>
    <n v="43.77"/>
    <n v="128.73529411764707"/>
    <x v="17"/>
  </r>
  <r>
    <d v="2024-07-26T00:00:00"/>
    <n v="43.71"/>
    <n v="128.55882352941177"/>
    <x v="17"/>
  </r>
  <r>
    <d v="2024-07-25T00:00:00"/>
    <n v="39.04"/>
    <n v="114.82352941176471"/>
    <x v="17"/>
  </r>
  <r>
    <d v="2024-07-21T00:00:00"/>
    <n v="56.24"/>
    <n v="165.41176470588238"/>
    <x v="18"/>
  </r>
  <r>
    <d v="2024-07-20T00:00:00"/>
    <n v="8.76"/>
    <n v="25.764705882352942"/>
    <x v="18"/>
  </r>
  <r>
    <d v="2024-07-19T00:00:00"/>
    <n v="22.71"/>
    <n v="66.794117647058826"/>
    <x v="18"/>
  </r>
  <r>
    <d v="2024-07-19T00:00:00"/>
    <n v="10.76"/>
    <n v="31.647058823529413"/>
    <x v="18"/>
  </r>
  <r>
    <d v="2024-07-13T00:00:00"/>
    <n v="33.5"/>
    <n v="98.529411764705884"/>
    <x v="19"/>
  </r>
  <r>
    <d v="2024-07-12T00:00:00"/>
    <n v="33.92"/>
    <n v="99.764705882352956"/>
    <x v="19"/>
  </r>
  <r>
    <d v="2024-07-12T00:00:00"/>
    <n v="41"/>
    <n v="120.58823529411765"/>
    <x v="19"/>
  </r>
  <r>
    <d v="2024-07-11T00:00:00"/>
    <n v="18.64"/>
    <n v="54.82352941176471"/>
    <x v="19"/>
  </r>
  <r>
    <d v="2024-07-10T00:00:00"/>
    <n v="40.130000000000003"/>
    <n v="118.0294117647059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D74FE-829D-42E5-ACC6-FF53E865E8B5}" name="estimated_mileag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:G27" firstHeaderRow="1" firstDataRow="1" firstDataCol="1"/>
  <pivotFields count="6">
    <pivotField numFmtId="14" showAll="0"/>
    <pivotField showAll="0"/>
    <pivotField dataField="1" showAll="0"/>
    <pivotField axis="axisRow" numFmtId="16" showAll="0" sortType="ascending">
      <items count="21">
        <item x="19"/>
        <item x="18"/>
        <item x="17"/>
        <item x="16"/>
        <item x="15"/>
        <item x="14"/>
        <item x="13"/>
        <item x="12"/>
        <item x="5"/>
        <item x="4"/>
        <item x="3"/>
        <item x="2"/>
        <item x="1"/>
        <item x="9"/>
        <item x="8"/>
        <item x="7"/>
        <item x="6"/>
        <item x="10"/>
        <item x="0"/>
        <item x="11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Estimated Mileag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449F-D32B-4CD6-9C1D-231CE5F1707F}">
  <sheetPr>
    <tabColor rgb="FFFFFF00"/>
  </sheetPr>
  <dimension ref="A1:M5"/>
  <sheetViews>
    <sheetView workbookViewId="0">
      <selection activeCell="I5" sqref="I5"/>
    </sheetView>
  </sheetViews>
  <sheetFormatPr defaultRowHeight="15" x14ac:dyDescent="0.25"/>
  <cols>
    <col min="1" max="1" width="14.5703125" customWidth="1"/>
    <col min="2" max="2" width="17.7109375" customWidth="1"/>
    <col min="3" max="3" width="26.5703125" customWidth="1"/>
    <col min="4" max="4" width="11.42578125" bestFit="1" customWidth="1"/>
    <col min="5" max="5" width="14.7109375" bestFit="1" customWidth="1"/>
    <col min="6" max="7" width="14.7109375" customWidth="1"/>
    <col min="9" max="10" width="19.42578125" customWidth="1"/>
    <col min="11" max="11" width="12.42578125" bestFit="1" customWidth="1"/>
    <col min="12" max="12" width="5.28515625" bestFit="1" customWidth="1"/>
    <col min="13" max="13" width="11" bestFit="1" customWidth="1"/>
  </cols>
  <sheetData>
    <row r="1" spans="1:13" x14ac:dyDescent="0.25">
      <c r="A1" s="23" t="s">
        <v>48</v>
      </c>
      <c r="B1" s="32" t="s">
        <v>0</v>
      </c>
      <c r="C1" s="43" t="s">
        <v>5</v>
      </c>
      <c r="D1" s="43" t="s">
        <v>87</v>
      </c>
      <c r="E1" s="43" t="s">
        <v>78</v>
      </c>
      <c r="F1" s="43" t="s">
        <v>27</v>
      </c>
      <c r="G1" s="5" t="s">
        <v>105</v>
      </c>
      <c r="H1" s="32" t="s">
        <v>1</v>
      </c>
      <c r="I1" s="32" t="s">
        <v>29</v>
      </c>
      <c r="J1" s="5" t="s">
        <v>101</v>
      </c>
      <c r="K1" s="3" t="s">
        <v>75</v>
      </c>
      <c r="L1" s="3" t="s">
        <v>73</v>
      </c>
      <c r="M1" s="3" t="s">
        <v>74</v>
      </c>
    </row>
    <row r="2" spans="1:13" x14ac:dyDescent="0.25">
      <c r="A2" s="3" t="s">
        <v>49</v>
      </c>
      <c r="B2" s="3">
        <v>40000</v>
      </c>
      <c r="C2" s="3">
        <v>5000</v>
      </c>
      <c r="D2">
        <v>7500</v>
      </c>
      <c r="E2" s="3">
        <v>3000</v>
      </c>
      <c r="F2" s="3">
        <v>35000</v>
      </c>
      <c r="G2" s="3"/>
      <c r="H2" s="3">
        <v>0.04</v>
      </c>
      <c r="I2" s="6">
        <v>60</v>
      </c>
      <c r="J2" s="3"/>
    </row>
    <row r="3" spans="1:13" x14ac:dyDescent="0.25">
      <c r="A3" t="s">
        <v>53</v>
      </c>
    </row>
    <row r="4" spans="1:13" x14ac:dyDescent="0.25">
      <c r="A4" t="s">
        <v>99</v>
      </c>
      <c r="B4" s="3">
        <v>32000</v>
      </c>
      <c r="C4">
        <v>0</v>
      </c>
      <c r="F4">
        <v>32000</v>
      </c>
      <c r="H4">
        <v>0.14000000000000001</v>
      </c>
      <c r="I4">
        <v>72</v>
      </c>
      <c r="J4">
        <v>26000</v>
      </c>
    </row>
    <row r="5" spans="1:13" x14ac:dyDescent="0.25">
      <c r="B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3CBA7-A6A4-42C9-9EF1-951C2DADBF37}">
  <sheetPr codeName="Sheet1">
    <tabColor rgb="FFFF0000"/>
  </sheetPr>
  <dimension ref="A1:F74"/>
  <sheetViews>
    <sheetView workbookViewId="0">
      <selection activeCell="B13" sqref="B13"/>
    </sheetView>
  </sheetViews>
  <sheetFormatPr defaultRowHeight="15" x14ac:dyDescent="0.25"/>
  <cols>
    <col min="1" max="1" width="43.85546875" style="3" bestFit="1" customWidth="1"/>
    <col min="2" max="2" width="19" style="3" customWidth="1"/>
    <col min="3" max="3" width="23" style="3" bestFit="1" customWidth="1"/>
    <col min="4" max="4" width="22.28515625" style="3" customWidth="1"/>
    <col min="5" max="5" width="18.85546875" style="3" bestFit="1" customWidth="1"/>
    <col min="6" max="6" width="16" style="3" customWidth="1"/>
    <col min="7" max="16384" width="9.140625" style="3"/>
  </cols>
  <sheetData>
    <row r="1" spans="1:6" x14ac:dyDescent="0.25">
      <c r="A1" s="71" t="s">
        <v>47</v>
      </c>
      <c r="B1" s="71"/>
    </row>
    <row r="2" spans="1:6" ht="15.75" thickBot="1" x14ac:dyDescent="0.3">
      <c r="B2" s="4"/>
    </row>
    <row r="3" spans="1:6" x14ac:dyDescent="0.25">
      <c r="A3" s="46" t="s">
        <v>52</v>
      </c>
      <c r="B3" s="50" t="s">
        <v>99</v>
      </c>
    </row>
    <row r="4" spans="1:6" x14ac:dyDescent="0.25">
      <c r="A4" s="47"/>
      <c r="B4" s="51" t="s">
        <v>3</v>
      </c>
      <c r="C4" s="4"/>
      <c r="D4" s="4"/>
      <c r="E4" s="4"/>
      <c r="F4" s="4"/>
    </row>
    <row r="5" spans="1:6" x14ac:dyDescent="0.25">
      <c r="A5" s="48"/>
      <c r="B5" s="52"/>
      <c r="C5" s="4"/>
      <c r="D5" s="4"/>
      <c r="E5" s="4"/>
      <c r="F5" s="4"/>
    </row>
    <row r="6" spans="1:6" x14ac:dyDescent="0.25">
      <c r="A6" s="48" t="s">
        <v>0</v>
      </c>
      <c r="B6" s="52">
        <f>_xlfn.XLOOKUP($B$3, Vehicle_Input!$A$2:$A$100, Vehicle_Input!B$2:B$100, "Not Found")</f>
        <v>32000</v>
      </c>
    </row>
    <row r="7" spans="1:6" x14ac:dyDescent="0.25">
      <c r="A7" s="48" t="s">
        <v>5</v>
      </c>
      <c r="B7" s="52">
        <f>_xlfn.XLOOKUP($B$3, Vehicle_Input!$A$2:$A$100, Vehicle_Input!C$2:C$100, "Not Found")</f>
        <v>0</v>
      </c>
    </row>
    <row r="8" spans="1:6" x14ac:dyDescent="0.25">
      <c r="A8" s="48" t="s">
        <v>101</v>
      </c>
      <c r="B8" s="52">
        <f>_xlfn.XLOOKUP($B$3, Vehicle_Input!$A$2:$A$100, Vehicle_Input!J$2:J$100, "Not Found")</f>
        <v>26000</v>
      </c>
    </row>
    <row r="9" spans="1:6" x14ac:dyDescent="0.25">
      <c r="A9" s="48" t="s">
        <v>87</v>
      </c>
      <c r="B9" s="52">
        <f>_xlfn.XLOOKUP($B$3, Vehicle_Input!$A$2:$A$100, Vehicle_Input!D$2:D$100, "Not Found")</f>
        <v>0</v>
      </c>
    </row>
    <row r="10" spans="1:6" x14ac:dyDescent="0.25">
      <c r="A10" s="48" t="s">
        <v>78</v>
      </c>
      <c r="B10" s="52">
        <f>_xlfn.XLOOKUP($B$3, Vehicle_Input!$A$2:$A$100, Vehicle_Input!E$2:E$100, "Not Found")</f>
        <v>0</v>
      </c>
    </row>
    <row r="11" spans="1:6" x14ac:dyDescent="0.25">
      <c r="A11" s="48" t="s">
        <v>27</v>
      </c>
      <c r="B11" s="52">
        <f>_xlfn.XLOOKUP($B$3, Vehicle_Input!$A$2:$A$100, Vehicle_Input!F$2:F$100, "Not Found")</f>
        <v>32000</v>
      </c>
    </row>
    <row r="12" spans="1:6" x14ac:dyDescent="0.25">
      <c r="A12" s="48" t="s">
        <v>1</v>
      </c>
      <c r="B12" s="52">
        <f>_xlfn.XLOOKUP($B$3, Vehicle_Input!$A$2:$A$100, Vehicle_Input!H$2:H$100, "Not Found")</f>
        <v>0.14000000000000001</v>
      </c>
    </row>
    <row r="13" spans="1:6" x14ac:dyDescent="0.25">
      <c r="A13" s="48" t="s">
        <v>4</v>
      </c>
      <c r="B13" s="52">
        <f>_xlfn.XLOOKUP($B$3, Vehicle_Input!$A$2:$A$100, Vehicle_Input!I$2:I$100, "Not Found")</f>
        <v>72</v>
      </c>
    </row>
    <row r="14" spans="1:6" x14ac:dyDescent="0.25">
      <c r="A14" s="48" t="s">
        <v>2</v>
      </c>
      <c r="B14" s="53">
        <f>-PMT((B12/12), B13, (B6-B7))</f>
        <v>659.3836634359061</v>
      </c>
      <c r="C14" s="55"/>
    </row>
    <row r="15" spans="1:6" x14ac:dyDescent="0.25">
      <c r="A15" s="48" t="s">
        <v>6</v>
      </c>
      <c r="B15" s="53">
        <f>B14 * B13</f>
        <v>47475.623767385237</v>
      </c>
    </row>
    <row r="16" spans="1:6" ht="15.75" thickBot="1" x14ac:dyDescent="0.3">
      <c r="A16" s="49" t="s">
        <v>23</v>
      </c>
      <c r="B16" s="54">
        <f ca="1">SUM(OFFSET(Amortization!$F$2, 0, 0, COUNT(Amortization!$F$2:$F$100), 1))</f>
        <v>7997.2851669687288</v>
      </c>
    </row>
    <row r="18" spans="1:3" x14ac:dyDescent="0.25">
      <c r="A18" s="61" t="s">
        <v>57</v>
      </c>
      <c r="B18" s="58"/>
    </row>
    <row r="19" spans="1:3" x14ac:dyDescent="0.25">
      <c r="A19" s="56" t="s">
        <v>58</v>
      </c>
      <c r="B19" s="44">
        <f ca="1">SUM(OFFSET(Amortization!$F$2, 0, 0, 12, 1))</f>
        <v>4024.9629114872841</v>
      </c>
    </row>
    <row r="20" spans="1:3" x14ac:dyDescent="0.25">
      <c r="A20" s="56" t="s">
        <v>59</v>
      </c>
      <c r="B20" s="44">
        <f ca="1">SUM(OFFSET(Amortization!$F$2, 12, 0, 12, 1))</f>
        <v>2839.5657102273203</v>
      </c>
    </row>
    <row r="21" spans="1:3" s="21" customFormat="1" x14ac:dyDescent="0.25">
      <c r="A21" s="57" t="s">
        <v>60</v>
      </c>
      <c r="B21" s="45">
        <f ca="1">SUM(OFFSET(Amortization!$F$2, 24, 0, 12, 1))</f>
        <v>1496.6180554302407</v>
      </c>
    </row>
    <row r="22" spans="1:3" x14ac:dyDescent="0.25">
      <c r="A22" s="21"/>
      <c r="B22" s="25"/>
    </row>
    <row r="24" spans="1:3" x14ac:dyDescent="0.25">
      <c r="A24" s="3" t="s">
        <v>94</v>
      </c>
    </row>
    <row r="25" spans="1:3" x14ac:dyDescent="0.25">
      <c r="A25" s="3" t="s">
        <v>95</v>
      </c>
      <c r="C25" s="3" t="s">
        <v>96</v>
      </c>
    </row>
    <row r="26" spans="1:3" x14ac:dyDescent="0.25">
      <c r="A26" s="3" t="s">
        <v>97</v>
      </c>
    </row>
    <row r="34" spans="1:3" x14ac:dyDescent="0.25">
      <c r="A34" s="3" t="s">
        <v>100</v>
      </c>
      <c r="B34" s="70">
        <v>2.5</v>
      </c>
    </row>
    <row r="35" spans="1:3" x14ac:dyDescent="0.25">
      <c r="A35" s="3" t="s">
        <v>54</v>
      </c>
      <c r="B35" s="3">
        <f xml:space="preserve"> B6 * (1 - MIN(1, (0.2 + (0.1 * (B34 - 1)) + (J6 * 52 * B34 / 150000))))</f>
        <v>20799.999999999996</v>
      </c>
    </row>
    <row r="36" spans="1:3" x14ac:dyDescent="0.25">
      <c r="A36" s="3" t="s">
        <v>63</v>
      </c>
    </row>
    <row r="37" spans="1:3" x14ac:dyDescent="0.25">
      <c r="A37" s="3" t="s">
        <v>55</v>
      </c>
    </row>
    <row r="38" spans="1:3" x14ac:dyDescent="0.25">
      <c r="A38" s="22" t="str">
        <f ca="1" xml:space="preserve"> "Value after " &amp; (ROW($A$35) - 19) &amp; " year with ~" &amp; TEXT('Charging&gt;Miles'!$J$6 * 52 * (ROW($A$35) - 19), "#,##0") &amp; " miles"</f>
        <v>Value after 16 year with ~490,218 miles</v>
      </c>
      <c r="B38" s="5"/>
    </row>
    <row r="39" spans="1:3" x14ac:dyDescent="0.25">
      <c r="A39" s="22" t="str">
        <f ca="1" xml:space="preserve"> "Value after 2 years with ~" &amp; TEXT('Charging&gt;Miles'!$J$6 * 52 * 2, "#,##0") &amp; " miles"</f>
        <v>Value after 2 years with ~61,277 miles</v>
      </c>
    </row>
    <row r="40" spans="1:3" x14ac:dyDescent="0.25">
      <c r="A40" s="22" t="str">
        <f ca="1" xml:space="preserve"> "Value after 2.5 years with ~" &amp; TEXT('Charging&gt;Miles'!$J$6 * 52 * 2.5, "#,##0") &amp; " miles"</f>
        <v>Value after 2.5 years with ~76,597 miles</v>
      </c>
    </row>
    <row r="41" spans="1:3" ht="12.75" customHeight="1" x14ac:dyDescent="0.25">
      <c r="A41" s="20"/>
    </row>
    <row r="42" spans="1:3" x14ac:dyDescent="0.25">
      <c r="A42" s="5" t="s">
        <v>51</v>
      </c>
    </row>
    <row r="43" spans="1:3" x14ac:dyDescent="0.25">
      <c r="A43" s="3" t="s">
        <v>50</v>
      </c>
    </row>
    <row r="44" spans="1:3" x14ac:dyDescent="0.25">
      <c r="A44" s="3" t="s">
        <v>76</v>
      </c>
      <c r="B44" s="3">
        <v>2000</v>
      </c>
    </row>
    <row r="48" spans="1:3" x14ac:dyDescent="0.25">
      <c r="A48" s="71" t="s">
        <v>8</v>
      </c>
      <c r="B48" s="71"/>
      <c r="C48" s="3">
        <v>-1</v>
      </c>
    </row>
    <row r="49" spans="1:4" x14ac:dyDescent="0.25">
      <c r="B49" s="7" t="s">
        <v>13</v>
      </c>
      <c r="C49" s="7" t="s">
        <v>11</v>
      </c>
      <c r="D49" s="7" t="s">
        <v>12</v>
      </c>
    </row>
    <row r="50" spans="1:4" x14ac:dyDescent="0.25">
      <c r="A50" s="3" t="s">
        <v>7</v>
      </c>
      <c r="B50" s="3">
        <v>1300</v>
      </c>
      <c r="C50">
        <f>B50*52</f>
        <v>67600</v>
      </c>
      <c r="D50">
        <f>B50*4</f>
        <v>5200</v>
      </c>
    </row>
    <row r="51" spans="1:4" x14ac:dyDescent="0.25">
      <c r="A51" s="3" t="s">
        <v>9</v>
      </c>
      <c r="B51" s="3">
        <v>-45</v>
      </c>
      <c r="C51">
        <v>2340</v>
      </c>
      <c r="D51">
        <v>180</v>
      </c>
    </row>
    <row r="52" spans="1:4" x14ac:dyDescent="0.25">
      <c r="A52" s="3" t="s">
        <v>10</v>
      </c>
      <c r="B52" s="3">
        <v>-10</v>
      </c>
      <c r="C52">
        <v>468</v>
      </c>
      <c r="D52">
        <f>B52*4</f>
        <v>-40</v>
      </c>
    </row>
    <row r="53" spans="1:4" x14ac:dyDescent="0.25">
      <c r="A53" s="3" t="s">
        <v>92</v>
      </c>
      <c r="B53" s="19">
        <f>C53/70</f>
        <v>-15.714285714285714</v>
      </c>
      <c r="C53" s="3">
        <v>-1100</v>
      </c>
      <c r="D53" s="19">
        <f>C53/12</f>
        <v>-91.666666666666671</v>
      </c>
    </row>
    <row r="54" spans="1:4" x14ac:dyDescent="0.25">
      <c r="B54"/>
      <c r="D54"/>
    </row>
    <row r="55" spans="1:4" x14ac:dyDescent="0.25">
      <c r="B55"/>
      <c r="D55"/>
    </row>
    <row r="57" spans="1:4" x14ac:dyDescent="0.25">
      <c r="A57" s="72" t="s">
        <v>14</v>
      </c>
      <c r="B57" s="73"/>
      <c r="C57" s="73"/>
      <c r="D57" s="73"/>
    </row>
    <row r="58" spans="1:4" x14ac:dyDescent="0.25">
      <c r="A58" s="8"/>
      <c r="B58" s="9"/>
      <c r="C58" s="9"/>
      <c r="D58" s="9"/>
    </row>
    <row r="59" spans="1:4" x14ac:dyDescent="0.25">
      <c r="A59" s="8"/>
      <c r="B59" s="9"/>
      <c r="C59" s="9"/>
      <c r="D59" s="9"/>
    </row>
    <row r="61" spans="1:4" x14ac:dyDescent="0.25">
      <c r="A61" s="71" t="s">
        <v>24</v>
      </c>
      <c r="B61" s="71"/>
    </row>
    <row r="62" spans="1:4" x14ac:dyDescent="0.25">
      <c r="B62" s="7" t="s">
        <v>3</v>
      </c>
      <c r="C62" s="7" t="s">
        <v>11</v>
      </c>
      <c r="D62" s="7" t="s">
        <v>12</v>
      </c>
    </row>
    <row r="63" spans="1:4" x14ac:dyDescent="0.25">
      <c r="A63" s="5" t="s">
        <v>15</v>
      </c>
    </row>
    <row r="64" spans="1:4" x14ac:dyDescent="0.25">
      <c r="A64" s="5" t="s">
        <v>16</v>
      </c>
    </row>
    <row r="65" spans="1:3" x14ac:dyDescent="0.25">
      <c r="A65" s="3" t="s">
        <v>25</v>
      </c>
    </row>
    <row r="70" spans="1:3" x14ac:dyDescent="0.25">
      <c r="A70" s="3" t="s">
        <v>30</v>
      </c>
      <c r="B70" s="3" t="s">
        <v>32</v>
      </c>
    </row>
    <row r="71" spans="1:3" x14ac:dyDescent="0.25">
      <c r="A71" s="3" t="s">
        <v>31</v>
      </c>
    </row>
    <row r="74" spans="1:3" x14ac:dyDescent="0.25">
      <c r="A74" s="5" t="s">
        <v>68</v>
      </c>
      <c r="B74" s="3" t="s">
        <v>71</v>
      </c>
      <c r="C74" s="3" t="s">
        <v>72</v>
      </c>
    </row>
  </sheetData>
  <mergeCells count="4">
    <mergeCell ref="A1:B1"/>
    <mergeCell ref="A48:B48"/>
    <mergeCell ref="A57:D57"/>
    <mergeCell ref="A61:B61"/>
  </mergeCells>
  <dataValidations count="1">
    <dataValidation type="list" allowBlank="1" showInputMessage="1" showErrorMessage="1" sqref="B3" xr:uid="{EEFFF363-F3DD-4AE4-87D5-847A81F6EEE2}">
      <formula1>VehicleList</formula1>
    </dataValidation>
  </dataValidations>
  <pageMargins left="0.7" right="0.7" top="0.75" bottom="0.75" header="0.3" footer="0.3"/>
  <pageSetup orientation="portrait" r:id="rId1"/>
  <ignoredErrors>
    <ignoredError sqref="B10:B13 B6:B7" unlockedFormula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7C10F6-1264-4AF4-8F57-F97121FCD5BC}">
          <x14:formula1>
            <xm:f>'Charging&gt;Miles'!$I$10:$I$13</xm:f>
          </x14:formula1>
          <xm:sqref>B34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4F4B-2CCB-4456-B1AF-2AD1505C0D26}">
  <sheetPr codeName="Sheet2"/>
  <dimension ref="A1:N61"/>
  <sheetViews>
    <sheetView tabSelected="1" workbookViewId="0">
      <selection activeCell="J33" sqref="J33"/>
    </sheetView>
  </sheetViews>
  <sheetFormatPr defaultRowHeight="15" x14ac:dyDescent="0.25"/>
  <cols>
    <col min="1" max="1" width="14.140625" customWidth="1"/>
    <col min="2" max="2" width="14.42578125" customWidth="1"/>
    <col min="3" max="3" width="11.140625" customWidth="1"/>
    <col min="4" max="4" width="9.28515625" customWidth="1"/>
    <col min="5" max="5" width="11.42578125" customWidth="1"/>
    <col min="6" max="6" width="12" bestFit="1" customWidth="1"/>
    <col min="7" max="8" width="13.28515625" customWidth="1"/>
    <col min="9" max="9" width="11.85546875" bestFit="1" customWidth="1"/>
    <col min="10" max="10" width="11.7109375" bestFit="1" customWidth="1"/>
    <col min="12" max="12" width="20.140625" customWidth="1"/>
    <col min="13" max="13" width="8.42578125" bestFit="1" customWidth="1"/>
  </cols>
  <sheetData>
    <row r="1" spans="1:14" ht="45" x14ac:dyDescent="0.25">
      <c r="A1" s="68" t="s">
        <v>17</v>
      </c>
      <c r="B1" s="69" t="s">
        <v>18</v>
      </c>
      <c r="C1" s="69" t="s">
        <v>19</v>
      </c>
      <c r="D1" s="69" t="s">
        <v>106</v>
      </c>
      <c r="E1" s="69" t="s">
        <v>107</v>
      </c>
      <c r="F1" s="69" t="s">
        <v>20</v>
      </c>
      <c r="G1" s="69" t="s">
        <v>21</v>
      </c>
      <c r="H1" s="68" t="s">
        <v>98</v>
      </c>
      <c r="I1" s="69" t="s">
        <v>22</v>
      </c>
      <c r="J1" s="69" t="s">
        <v>108</v>
      </c>
    </row>
    <row r="2" spans="1:14" x14ac:dyDescent="0.25">
      <c r="A2">
        <f t="shared" ref="A2:A33" si="0">IF(ROW(A2)-ROW($A$1) &lt;= $M$5, ROW(A2)-ROW($A$1), "")</f>
        <v>1</v>
      </c>
      <c r="B2" s="14">
        <f>$M$2</f>
        <v>45658</v>
      </c>
      <c r="C2">
        <f>IF(A2&lt;&gt;"", Outputs!B11, "")</f>
        <v>32000</v>
      </c>
      <c r="D2" s="1">
        <f t="shared" ref="D2:D33" si="1">IF(A2&lt;&gt;"", $M$6, "")</f>
        <v>659.3836634359061</v>
      </c>
      <c r="E2" s="1"/>
      <c r="F2">
        <f t="shared" ref="F2:F33" si="2">IF(A2&lt;&gt;"", C2 * ($M$4 / 12), "")</f>
        <v>373.33333333333337</v>
      </c>
      <c r="G2" s="1">
        <f>IF(A2&lt;&gt;"", D2 - F2+E2, "")</f>
        <v>286.05033010257273</v>
      </c>
      <c r="H2" s="1">
        <f>G2</f>
        <v>286.05033010257273</v>
      </c>
      <c r="I2" s="1">
        <f t="shared" ref="I2:I33" si="3">IF(A2&lt;&gt;"", C2 - G2, "")</f>
        <v>31713.949669897429</v>
      </c>
      <c r="J2" s="28">
        <f ca="1">IF(A2&lt;&gt;"",Depreciation!F4,"")</f>
        <v>31119.677987616102</v>
      </c>
      <c r="L2" t="s">
        <v>26</v>
      </c>
      <c r="M2" s="13">
        <v>45658</v>
      </c>
    </row>
    <row r="3" spans="1:14" x14ac:dyDescent="0.25">
      <c r="A3">
        <f t="shared" si="0"/>
        <v>2</v>
      </c>
      <c r="B3" s="14">
        <f>IF(A3&lt;&gt;"", EDATE(B2,1), "")</f>
        <v>45689</v>
      </c>
      <c r="C3" s="1">
        <f t="shared" ref="C3:C34" si="4">IF(A3&lt;&gt;"", I2, "")</f>
        <v>31713.949669897429</v>
      </c>
      <c r="D3" s="1">
        <f t="shared" si="1"/>
        <v>659.3836634359061</v>
      </c>
      <c r="E3" s="1">
        <v>340</v>
      </c>
      <c r="F3">
        <f t="shared" si="2"/>
        <v>369.99607948213668</v>
      </c>
      <c r="G3" s="1">
        <f t="shared" ref="G3:G61" si="5">IF(A3&lt;&gt;"", D3 - F3+E3, "")</f>
        <v>629.38758395376942</v>
      </c>
      <c r="H3" s="1">
        <f t="shared" ref="H3:H34" si="6">IF(A3&lt;&gt;"",H2+G3,"")</f>
        <v>915.43791405634215</v>
      </c>
      <c r="I3" s="1">
        <f t="shared" si="3"/>
        <v>31084.56208594366</v>
      </c>
      <c r="J3" s="28">
        <f ca="1">IF(A3&lt;&gt;"",Depreciation!F5,"")</f>
        <v>30239.3559752322</v>
      </c>
      <c r="L3" s="10" t="s">
        <v>27</v>
      </c>
      <c r="M3" s="10">
        <f>Outputs!B6-Outputs!B7</f>
        <v>32000</v>
      </c>
    </row>
    <row r="4" spans="1:14" x14ac:dyDescent="0.25">
      <c r="A4">
        <f t="shared" si="0"/>
        <v>3</v>
      </c>
      <c r="B4" s="14">
        <f t="shared" ref="B4:B61" si="7">IF(A4&lt;&gt;"", EDATE(B3,1), "")</f>
        <v>45717</v>
      </c>
      <c r="C4" s="1">
        <f t="shared" si="4"/>
        <v>31084.56208594366</v>
      </c>
      <c r="D4" s="1">
        <f t="shared" si="1"/>
        <v>659.3836634359061</v>
      </c>
      <c r="E4" s="1">
        <v>340</v>
      </c>
      <c r="F4">
        <f t="shared" si="2"/>
        <v>362.65322433600937</v>
      </c>
      <c r="G4" s="1">
        <f t="shared" si="5"/>
        <v>636.73043909989678</v>
      </c>
      <c r="H4" s="1">
        <f t="shared" si="6"/>
        <v>1552.1683531562389</v>
      </c>
      <c r="I4" s="1">
        <f t="shared" si="3"/>
        <v>30447.831646843762</v>
      </c>
      <c r="J4" s="28">
        <f ca="1">IF(A4&lt;&gt;"",Depreciation!F6,"")</f>
        <v>29359.033962848302</v>
      </c>
      <c r="L4" s="10" t="s">
        <v>28</v>
      </c>
      <c r="M4" s="10">
        <f>Outputs!B12</f>
        <v>0.14000000000000001</v>
      </c>
    </row>
    <row r="5" spans="1:14" x14ac:dyDescent="0.25">
      <c r="A5">
        <f t="shared" si="0"/>
        <v>4</v>
      </c>
      <c r="B5" s="14">
        <f t="shared" si="7"/>
        <v>45748</v>
      </c>
      <c r="C5" s="1">
        <f t="shared" si="4"/>
        <v>30447.831646843762</v>
      </c>
      <c r="D5" s="1">
        <f t="shared" si="1"/>
        <v>659.3836634359061</v>
      </c>
      <c r="E5" s="1">
        <v>340</v>
      </c>
      <c r="F5">
        <f t="shared" si="2"/>
        <v>355.22470254651057</v>
      </c>
      <c r="G5" s="1">
        <f t="shared" si="5"/>
        <v>644.15896088939553</v>
      </c>
      <c r="H5" s="1">
        <f t="shared" si="6"/>
        <v>2196.3273140456345</v>
      </c>
      <c r="I5" s="1">
        <f t="shared" si="3"/>
        <v>29803.672685954367</v>
      </c>
      <c r="J5" s="28">
        <f ca="1">IF(A5&lt;&gt;"",Depreciation!F7,"")</f>
        <v>28478.7119504644</v>
      </c>
      <c r="L5" s="10" t="s">
        <v>29</v>
      </c>
      <c r="M5" s="10">
        <v>60</v>
      </c>
    </row>
    <row r="6" spans="1:14" x14ac:dyDescent="0.25">
      <c r="A6">
        <f t="shared" si="0"/>
        <v>5</v>
      </c>
      <c r="B6" s="14">
        <f t="shared" si="7"/>
        <v>45778</v>
      </c>
      <c r="C6" s="1">
        <f t="shared" si="4"/>
        <v>29803.672685954367</v>
      </c>
      <c r="D6" s="1">
        <f t="shared" si="1"/>
        <v>659.3836634359061</v>
      </c>
      <c r="E6" s="1">
        <v>340</v>
      </c>
      <c r="F6">
        <f t="shared" si="2"/>
        <v>347.70951466946764</v>
      </c>
      <c r="G6" s="1">
        <f t="shared" si="5"/>
        <v>651.67414876643852</v>
      </c>
      <c r="H6" s="1">
        <f t="shared" si="6"/>
        <v>2848.001462812073</v>
      </c>
      <c r="I6" s="1">
        <f t="shared" si="3"/>
        <v>29151.99853718793</v>
      </c>
      <c r="J6" s="28">
        <f ca="1">IF(A6&lt;&gt;"",Depreciation!F8,"")</f>
        <v>27598.389938080501</v>
      </c>
      <c r="L6" s="10" t="s">
        <v>103</v>
      </c>
      <c r="M6" s="11">
        <f>Outputs!B14</f>
        <v>659.3836634359061</v>
      </c>
    </row>
    <row r="7" spans="1:14" x14ac:dyDescent="0.25">
      <c r="A7">
        <f t="shared" si="0"/>
        <v>6</v>
      </c>
      <c r="B7" s="14">
        <f t="shared" si="7"/>
        <v>45809</v>
      </c>
      <c r="C7" s="1">
        <f t="shared" si="4"/>
        <v>29151.99853718793</v>
      </c>
      <c r="D7" s="1">
        <f t="shared" si="1"/>
        <v>659.3836634359061</v>
      </c>
      <c r="E7" s="1">
        <v>340</v>
      </c>
      <c r="F7">
        <f t="shared" si="2"/>
        <v>340.10664960052588</v>
      </c>
      <c r="G7" s="1">
        <f t="shared" si="5"/>
        <v>659.27701383538022</v>
      </c>
      <c r="H7" s="1">
        <f t="shared" si="6"/>
        <v>3507.2784766474533</v>
      </c>
      <c r="I7" s="1">
        <f t="shared" si="3"/>
        <v>28492.721523352549</v>
      </c>
      <c r="J7" s="28">
        <f ca="1">IF(A7&lt;&gt;"",Depreciation!F9,"")</f>
        <v>26718.067925696603</v>
      </c>
      <c r="L7" s="10" t="s">
        <v>104</v>
      </c>
      <c r="M7">
        <v>1000</v>
      </c>
    </row>
    <row r="8" spans="1:14" x14ac:dyDescent="0.25">
      <c r="A8">
        <f t="shared" si="0"/>
        <v>7</v>
      </c>
      <c r="B8" s="14">
        <f t="shared" si="7"/>
        <v>45839</v>
      </c>
      <c r="C8" s="1">
        <f t="shared" si="4"/>
        <v>28492.721523352549</v>
      </c>
      <c r="D8" s="1">
        <f t="shared" si="1"/>
        <v>659.3836634359061</v>
      </c>
      <c r="E8" s="1">
        <v>340</v>
      </c>
      <c r="F8">
        <f t="shared" si="2"/>
        <v>332.41508443911312</v>
      </c>
      <c r="G8" s="1">
        <f t="shared" si="5"/>
        <v>666.96857899679298</v>
      </c>
      <c r="H8" s="1">
        <f t="shared" si="6"/>
        <v>4174.2470556442458</v>
      </c>
      <c r="I8" s="1">
        <f t="shared" si="3"/>
        <v>27825.752944355758</v>
      </c>
      <c r="J8" s="28">
        <f ca="1">IF(A8&lt;&gt;"",Depreciation!F10,"")</f>
        <v>25837.745913312701</v>
      </c>
    </row>
    <row r="9" spans="1:14" x14ac:dyDescent="0.25">
      <c r="A9">
        <f t="shared" si="0"/>
        <v>8</v>
      </c>
      <c r="B9" s="14">
        <f t="shared" si="7"/>
        <v>45870</v>
      </c>
      <c r="C9" s="1">
        <f t="shared" si="4"/>
        <v>27825.752944355758</v>
      </c>
      <c r="D9" s="1">
        <f t="shared" si="1"/>
        <v>659.3836634359061</v>
      </c>
      <c r="E9" s="1">
        <v>340</v>
      </c>
      <c r="F9">
        <f t="shared" si="2"/>
        <v>324.63378435081717</v>
      </c>
      <c r="G9" s="1">
        <f t="shared" si="5"/>
        <v>674.74987908508888</v>
      </c>
      <c r="H9" s="1">
        <f t="shared" si="6"/>
        <v>4848.9969347293345</v>
      </c>
      <c r="I9" s="1">
        <f t="shared" si="3"/>
        <v>27151.00306527067</v>
      </c>
      <c r="J9" s="28">
        <f ca="1">IF(A9&lt;&gt;"",Depreciation!F11,"")</f>
        <v>24957.423900928803</v>
      </c>
    </row>
    <row r="10" spans="1:14" x14ac:dyDescent="0.25">
      <c r="A10">
        <f t="shared" si="0"/>
        <v>9</v>
      </c>
      <c r="B10" s="14">
        <f t="shared" si="7"/>
        <v>45901</v>
      </c>
      <c r="C10" s="1">
        <f t="shared" si="4"/>
        <v>27151.00306527067</v>
      </c>
      <c r="D10" s="1">
        <f t="shared" si="1"/>
        <v>659.3836634359061</v>
      </c>
      <c r="E10" s="1">
        <v>340</v>
      </c>
      <c r="F10">
        <f t="shared" si="2"/>
        <v>316.76170242815783</v>
      </c>
      <c r="G10" s="1">
        <f t="shared" si="5"/>
        <v>682.62196100774827</v>
      </c>
      <c r="H10" s="1">
        <f t="shared" si="6"/>
        <v>5531.6188957370832</v>
      </c>
      <c r="I10" s="1">
        <f t="shared" si="3"/>
        <v>26468.38110426292</v>
      </c>
      <c r="J10" s="28">
        <f ca="1">IF(A10&lt;&gt;"",Depreciation!F12,"")</f>
        <v>24077.101888544901</v>
      </c>
      <c r="L10" s="27" t="s">
        <v>77</v>
      </c>
      <c r="M10" s="27"/>
      <c r="N10" t="s">
        <v>105</v>
      </c>
    </row>
    <row r="11" spans="1:14" x14ac:dyDescent="0.25">
      <c r="A11">
        <f t="shared" si="0"/>
        <v>10</v>
      </c>
      <c r="B11" s="14">
        <f t="shared" si="7"/>
        <v>45931</v>
      </c>
      <c r="C11" s="1">
        <f t="shared" si="4"/>
        <v>26468.38110426292</v>
      </c>
      <c r="D11" s="1">
        <f t="shared" si="1"/>
        <v>659.3836634359061</v>
      </c>
      <c r="E11" s="1">
        <v>340</v>
      </c>
      <c r="F11">
        <f t="shared" si="2"/>
        <v>308.79777954973406</v>
      </c>
      <c r="G11" s="1">
        <f t="shared" si="5"/>
        <v>690.58588388617204</v>
      </c>
      <c r="H11" s="1">
        <f t="shared" si="6"/>
        <v>6222.2047796232555</v>
      </c>
      <c r="I11" s="1">
        <f t="shared" si="3"/>
        <v>25777.795220376749</v>
      </c>
      <c r="J11" s="28">
        <f ca="1">IF(A11&lt;&gt;"",Depreciation!F13,"")</f>
        <v>23196.779876161003</v>
      </c>
      <c r="L11">
        <v>0</v>
      </c>
      <c r="N11">
        <v>24</v>
      </c>
    </row>
    <row r="12" spans="1:14" x14ac:dyDescent="0.25">
      <c r="A12">
        <f t="shared" si="0"/>
        <v>11</v>
      </c>
      <c r="B12" s="14">
        <f t="shared" si="7"/>
        <v>45962</v>
      </c>
      <c r="C12" s="1">
        <f t="shared" si="4"/>
        <v>25777.795220376749</v>
      </c>
      <c r="D12" s="1">
        <f t="shared" si="1"/>
        <v>659.3836634359061</v>
      </c>
      <c r="E12" s="1">
        <v>340</v>
      </c>
      <c r="F12">
        <f t="shared" si="2"/>
        <v>300.74094423772874</v>
      </c>
      <c r="G12" s="1">
        <f t="shared" si="5"/>
        <v>698.64271919817736</v>
      </c>
      <c r="H12" s="1">
        <f t="shared" si="6"/>
        <v>6920.847498821433</v>
      </c>
      <c r="I12" s="1">
        <f t="shared" si="3"/>
        <v>25079.152501178571</v>
      </c>
      <c r="J12" s="28">
        <f ca="1">IF(A12&lt;&gt;"",Depreciation!F14,"")</f>
        <v>22316.457863777101</v>
      </c>
      <c r="L12">
        <v>0.01</v>
      </c>
      <c r="N12">
        <v>36</v>
      </c>
    </row>
    <row r="13" spans="1:14" x14ac:dyDescent="0.25">
      <c r="A13">
        <f t="shared" si="0"/>
        <v>12</v>
      </c>
      <c r="B13" s="14">
        <f t="shared" si="7"/>
        <v>45992</v>
      </c>
      <c r="C13" s="1">
        <f t="shared" si="4"/>
        <v>25079.152501178571</v>
      </c>
      <c r="D13" s="1">
        <f t="shared" si="1"/>
        <v>659.3836634359061</v>
      </c>
      <c r="E13" s="1">
        <v>340</v>
      </c>
      <c r="F13">
        <f t="shared" si="2"/>
        <v>292.59011251375</v>
      </c>
      <c r="G13" s="1">
        <f t="shared" si="5"/>
        <v>706.7935509221561</v>
      </c>
      <c r="H13" s="1">
        <f t="shared" si="6"/>
        <v>7627.6410497435891</v>
      </c>
      <c r="I13" s="1">
        <f t="shared" si="3"/>
        <v>24372.358950256414</v>
      </c>
      <c r="J13" s="28">
        <f ca="1">IF(A13&lt;&gt;"",Depreciation!F15,"")</f>
        <v>21569.469184726535</v>
      </c>
      <c r="L13">
        <v>0.02</v>
      </c>
      <c r="N13">
        <v>48</v>
      </c>
    </row>
    <row r="14" spans="1:14" x14ac:dyDescent="0.25">
      <c r="A14">
        <f t="shared" si="0"/>
        <v>13</v>
      </c>
      <c r="B14" s="14">
        <f t="shared" si="7"/>
        <v>46023</v>
      </c>
      <c r="C14" s="1">
        <f t="shared" si="4"/>
        <v>24372.358950256414</v>
      </c>
      <c r="D14" s="1">
        <f t="shared" si="1"/>
        <v>659.3836634359061</v>
      </c>
      <c r="E14" s="1">
        <v>340</v>
      </c>
      <c r="F14">
        <f t="shared" si="2"/>
        <v>284.3441877529915</v>
      </c>
      <c r="G14" s="1">
        <f t="shared" si="5"/>
        <v>715.0394756829146</v>
      </c>
      <c r="H14" s="1">
        <f t="shared" si="6"/>
        <v>8342.6805254265037</v>
      </c>
      <c r="I14" s="1">
        <f t="shared" si="3"/>
        <v>23657.319474573498</v>
      </c>
      <c r="J14" s="28">
        <f ca="1">IF(A14&lt;&gt;"",Depreciation!F16,"")</f>
        <v>20822.480505675965</v>
      </c>
      <c r="L14">
        <v>0.03</v>
      </c>
      <c r="N14">
        <v>60</v>
      </c>
    </row>
    <row r="15" spans="1:14" x14ac:dyDescent="0.25">
      <c r="A15">
        <f t="shared" si="0"/>
        <v>14</v>
      </c>
      <c r="B15" s="14">
        <f t="shared" si="7"/>
        <v>46054</v>
      </c>
      <c r="C15" s="1">
        <f t="shared" si="4"/>
        <v>23657.319474573498</v>
      </c>
      <c r="D15" s="1">
        <f t="shared" si="1"/>
        <v>659.3836634359061</v>
      </c>
      <c r="E15" s="1">
        <v>340</v>
      </c>
      <c r="F15">
        <f t="shared" si="2"/>
        <v>276.00206053669081</v>
      </c>
      <c r="G15" s="1">
        <f t="shared" si="5"/>
        <v>723.3816028992153</v>
      </c>
      <c r="H15" s="1">
        <f t="shared" si="6"/>
        <v>9066.0621283257187</v>
      </c>
      <c r="I15" s="1">
        <f t="shared" si="3"/>
        <v>22933.937871674283</v>
      </c>
      <c r="J15" s="28">
        <f ca="1">IF(A15&lt;&gt;"",Depreciation!F17,"")</f>
        <v>20075.491826625399</v>
      </c>
      <c r="L15">
        <v>0.04</v>
      </c>
      <c r="N15">
        <v>72</v>
      </c>
    </row>
    <row r="16" spans="1:14" x14ac:dyDescent="0.25">
      <c r="A16">
        <f t="shared" si="0"/>
        <v>15</v>
      </c>
      <c r="B16" s="14">
        <f t="shared" si="7"/>
        <v>46082</v>
      </c>
      <c r="C16" s="1">
        <f t="shared" si="4"/>
        <v>22933.937871674283</v>
      </c>
      <c r="D16" s="1">
        <f t="shared" si="1"/>
        <v>659.3836634359061</v>
      </c>
      <c r="E16" s="1">
        <v>340</v>
      </c>
      <c r="F16">
        <f t="shared" si="2"/>
        <v>267.56260850286662</v>
      </c>
      <c r="G16" s="1">
        <f t="shared" si="5"/>
        <v>731.82105493303948</v>
      </c>
      <c r="H16" s="1">
        <f t="shared" si="6"/>
        <v>9797.8831832587584</v>
      </c>
      <c r="I16" s="1">
        <f t="shared" si="3"/>
        <v>22202.116816741243</v>
      </c>
      <c r="J16" s="28">
        <f ca="1">IF(A16&lt;&gt;"",Depreciation!F18,"")</f>
        <v>19328.503147574833</v>
      </c>
      <c r="L16">
        <v>0.05</v>
      </c>
    </row>
    <row r="17" spans="1:14" x14ac:dyDescent="0.25">
      <c r="A17">
        <f t="shared" si="0"/>
        <v>16</v>
      </c>
      <c r="B17" s="14">
        <f t="shared" si="7"/>
        <v>46113</v>
      </c>
      <c r="C17" s="1">
        <f t="shared" si="4"/>
        <v>22202.116816741243</v>
      </c>
      <c r="D17" s="1">
        <f t="shared" si="1"/>
        <v>659.3836634359061</v>
      </c>
      <c r="E17" s="1">
        <v>340</v>
      </c>
      <c r="F17">
        <f t="shared" si="2"/>
        <v>259.0246961953145</v>
      </c>
      <c r="G17" s="1">
        <f t="shared" si="5"/>
        <v>740.3589672405916</v>
      </c>
      <c r="H17" s="1">
        <f t="shared" si="6"/>
        <v>10538.242150499351</v>
      </c>
      <c r="I17" s="1">
        <f t="shared" si="3"/>
        <v>21461.757849500653</v>
      </c>
      <c r="J17" s="28">
        <f ca="1">IF(A17&lt;&gt;"",Depreciation!F19,"")</f>
        <v>18581.514468524263</v>
      </c>
      <c r="L17">
        <v>0.06</v>
      </c>
    </row>
    <row r="18" spans="1:14" x14ac:dyDescent="0.25">
      <c r="A18">
        <f t="shared" si="0"/>
        <v>17</v>
      </c>
      <c r="B18" s="14">
        <f t="shared" si="7"/>
        <v>46143</v>
      </c>
      <c r="C18" s="1">
        <f t="shared" si="4"/>
        <v>21461.757849500653</v>
      </c>
      <c r="D18" s="1">
        <f t="shared" si="1"/>
        <v>659.3836634359061</v>
      </c>
      <c r="E18" s="1">
        <v>340</v>
      </c>
      <c r="F18">
        <f t="shared" si="2"/>
        <v>250.38717491084097</v>
      </c>
      <c r="G18" s="1">
        <f t="shared" si="5"/>
        <v>748.99648852506516</v>
      </c>
      <c r="H18" s="1">
        <f t="shared" si="6"/>
        <v>11287.238639024416</v>
      </c>
      <c r="I18" s="1">
        <f t="shared" si="3"/>
        <v>20712.761360975586</v>
      </c>
      <c r="J18" s="28">
        <f ca="1">IF(A18&lt;&gt;"",Depreciation!F20,"")</f>
        <v>17834.525789473697</v>
      </c>
      <c r="L18">
        <v>7.0000000000000007E-2</v>
      </c>
    </row>
    <row r="19" spans="1:14" x14ac:dyDescent="0.25">
      <c r="A19">
        <f t="shared" si="0"/>
        <v>18</v>
      </c>
      <c r="B19" s="14">
        <f t="shared" si="7"/>
        <v>46174</v>
      </c>
      <c r="C19" s="1">
        <f t="shared" si="4"/>
        <v>20712.761360975586</v>
      </c>
      <c r="D19" s="1">
        <f t="shared" si="1"/>
        <v>659.3836634359061</v>
      </c>
      <c r="E19" s="1">
        <v>340</v>
      </c>
      <c r="F19">
        <f t="shared" si="2"/>
        <v>241.64888254471518</v>
      </c>
      <c r="G19" s="1">
        <f t="shared" si="5"/>
        <v>757.73478089119089</v>
      </c>
      <c r="H19" s="1">
        <f t="shared" si="6"/>
        <v>12044.973419915606</v>
      </c>
      <c r="I19" s="1">
        <f t="shared" si="3"/>
        <v>19955.026580084395</v>
      </c>
      <c r="J19" s="28">
        <f ca="1">IF(A19&lt;&gt;"",Depreciation!F21,"")</f>
        <v>17087.537110423131</v>
      </c>
      <c r="L19">
        <v>0.08</v>
      </c>
    </row>
    <row r="20" spans="1:14" x14ac:dyDescent="0.25">
      <c r="A20">
        <f t="shared" si="0"/>
        <v>19</v>
      </c>
      <c r="B20" s="14">
        <f t="shared" si="7"/>
        <v>46204</v>
      </c>
      <c r="C20" s="1">
        <f t="shared" si="4"/>
        <v>19955.026580084395</v>
      </c>
      <c r="D20" s="1">
        <f t="shared" si="1"/>
        <v>659.3836634359061</v>
      </c>
      <c r="E20" s="1">
        <v>340</v>
      </c>
      <c r="F20">
        <f t="shared" si="2"/>
        <v>232.80864343431796</v>
      </c>
      <c r="G20" s="1">
        <f t="shared" si="5"/>
        <v>766.5750200015882</v>
      </c>
      <c r="H20" s="1">
        <f t="shared" si="6"/>
        <v>12811.548439917195</v>
      </c>
      <c r="I20" s="1">
        <f t="shared" si="3"/>
        <v>19188.451560082809</v>
      </c>
      <c r="J20" s="28">
        <f ca="1">IF(A20&lt;&gt;"",Depreciation!F22,"")</f>
        <v>16340.548431372561</v>
      </c>
      <c r="L20">
        <v>0.09</v>
      </c>
    </row>
    <row r="21" spans="1:14" x14ac:dyDescent="0.25">
      <c r="A21">
        <f t="shared" si="0"/>
        <v>20</v>
      </c>
      <c r="B21" s="14">
        <f t="shared" si="7"/>
        <v>46235</v>
      </c>
      <c r="C21" s="1">
        <f t="shared" si="4"/>
        <v>19188.451560082809</v>
      </c>
      <c r="D21" s="1">
        <f t="shared" si="1"/>
        <v>659.3836634359061</v>
      </c>
      <c r="E21" s="1">
        <v>340</v>
      </c>
      <c r="F21">
        <f t="shared" si="2"/>
        <v>223.86526820096611</v>
      </c>
      <c r="G21" s="1">
        <f t="shared" si="5"/>
        <v>775.51839523494004</v>
      </c>
      <c r="H21" s="1">
        <f t="shared" si="6"/>
        <v>13587.066835152134</v>
      </c>
      <c r="I21" s="1">
        <f t="shared" si="3"/>
        <v>18412.933164847869</v>
      </c>
      <c r="J21" s="28">
        <f ca="1">IF(A21&lt;&gt;"",Depreciation!F23,"")</f>
        <v>15593.559752321993</v>
      </c>
      <c r="L21">
        <v>0.1</v>
      </c>
    </row>
    <row r="22" spans="1:14" x14ac:dyDescent="0.25">
      <c r="A22">
        <f t="shared" si="0"/>
        <v>21</v>
      </c>
      <c r="B22" s="14">
        <f t="shared" si="7"/>
        <v>46266</v>
      </c>
      <c r="C22" s="1">
        <f t="shared" si="4"/>
        <v>18412.933164847869</v>
      </c>
      <c r="D22" s="1">
        <f t="shared" si="1"/>
        <v>659.3836634359061</v>
      </c>
      <c r="E22" s="1">
        <v>340</v>
      </c>
      <c r="F22">
        <f t="shared" si="2"/>
        <v>214.81755358989182</v>
      </c>
      <c r="G22" s="1">
        <f t="shared" si="5"/>
        <v>784.56610984601434</v>
      </c>
      <c r="H22" s="1">
        <f t="shared" si="6"/>
        <v>14371.632944998149</v>
      </c>
      <c r="I22" s="1">
        <f t="shared" si="3"/>
        <v>17628.367055001854</v>
      </c>
      <c r="J22" s="28">
        <f ca="1">IF(A22&lt;&gt;"",Depreciation!F24,"")</f>
        <v>14846.571073271425</v>
      </c>
      <c r="L22">
        <v>0.14000000000000001</v>
      </c>
    </row>
    <row r="23" spans="1:14" x14ac:dyDescent="0.25">
      <c r="A23">
        <f t="shared" si="0"/>
        <v>22</v>
      </c>
      <c r="B23" s="14">
        <f t="shared" si="7"/>
        <v>46296</v>
      </c>
      <c r="C23" s="1">
        <f t="shared" si="4"/>
        <v>17628.367055001854</v>
      </c>
      <c r="D23" s="1">
        <f t="shared" si="1"/>
        <v>659.3836634359061</v>
      </c>
      <c r="E23" s="1">
        <v>340</v>
      </c>
      <c r="F23">
        <f t="shared" si="2"/>
        <v>205.66428230835498</v>
      </c>
      <c r="G23" s="1">
        <f t="shared" si="5"/>
        <v>793.71938112755106</v>
      </c>
      <c r="H23" s="1">
        <f t="shared" si="6"/>
        <v>15165.3523261257</v>
      </c>
      <c r="I23" s="1">
        <f t="shared" si="3"/>
        <v>16834.647673874304</v>
      </c>
      <c r="J23" s="28">
        <f ca="1">IF(A23&lt;&gt;"",Depreciation!F25,"")</f>
        <v>14099.582394220859</v>
      </c>
      <c r="L23" s="74"/>
      <c r="M23" s="74"/>
      <c r="N23" s="74"/>
    </row>
    <row r="24" spans="1:14" x14ac:dyDescent="0.25">
      <c r="A24">
        <f t="shared" si="0"/>
        <v>23</v>
      </c>
      <c r="B24" s="14">
        <f t="shared" si="7"/>
        <v>46327</v>
      </c>
      <c r="C24" s="1">
        <f t="shared" si="4"/>
        <v>16834.647673874304</v>
      </c>
      <c r="D24" s="1">
        <f t="shared" si="1"/>
        <v>659.3836634359061</v>
      </c>
      <c r="E24" s="1">
        <v>340</v>
      </c>
      <c r="F24">
        <f t="shared" si="2"/>
        <v>196.40422286186688</v>
      </c>
      <c r="G24" s="1">
        <f t="shared" si="5"/>
        <v>802.97944057403924</v>
      </c>
      <c r="H24" s="1">
        <f t="shared" si="6"/>
        <v>15968.331766699739</v>
      </c>
      <c r="I24" s="1">
        <f t="shared" si="3"/>
        <v>16031.668233300265</v>
      </c>
      <c r="J24" s="28">
        <f ca="1">IF(A24&lt;&gt;"",Depreciation!F26,"")</f>
        <v>13352.593715170289</v>
      </c>
    </row>
    <row r="25" spans="1:14" x14ac:dyDescent="0.25">
      <c r="A25">
        <f t="shared" si="0"/>
        <v>24</v>
      </c>
      <c r="B25" s="14">
        <f t="shared" si="7"/>
        <v>46357</v>
      </c>
      <c r="C25" s="1">
        <f t="shared" si="4"/>
        <v>16031.668233300265</v>
      </c>
      <c r="D25" s="1">
        <f t="shared" si="1"/>
        <v>659.3836634359061</v>
      </c>
      <c r="E25" s="1">
        <v>340</v>
      </c>
      <c r="F25">
        <f t="shared" si="2"/>
        <v>187.0361293885031</v>
      </c>
      <c r="G25" s="1">
        <f t="shared" si="5"/>
        <v>812.34753404740297</v>
      </c>
      <c r="H25" s="1">
        <f t="shared" si="6"/>
        <v>16780.679300747142</v>
      </c>
      <c r="I25" s="1">
        <f t="shared" si="3"/>
        <v>15219.320699252861</v>
      </c>
      <c r="J25" s="28">
        <f ca="1">IF(A25&lt;&gt;"",Depreciation!F27,"")</f>
        <v>12738.938369453055</v>
      </c>
    </row>
    <row r="26" spans="1:14" x14ac:dyDescent="0.25">
      <c r="A26">
        <f t="shared" si="0"/>
        <v>25</v>
      </c>
      <c r="B26" s="14">
        <f t="shared" si="7"/>
        <v>46388</v>
      </c>
      <c r="C26" s="1">
        <f t="shared" si="4"/>
        <v>15219.320699252861</v>
      </c>
      <c r="D26" s="1">
        <f t="shared" si="1"/>
        <v>659.3836634359061</v>
      </c>
      <c r="E26" s="1">
        <v>340</v>
      </c>
      <c r="F26">
        <f t="shared" si="2"/>
        <v>177.5587414912834</v>
      </c>
      <c r="G26" s="1">
        <f t="shared" si="5"/>
        <v>821.8249219446227</v>
      </c>
      <c r="H26" s="1">
        <f t="shared" si="6"/>
        <v>17602.504222691765</v>
      </c>
      <c r="I26" s="1">
        <f t="shared" si="3"/>
        <v>14397.495777308239</v>
      </c>
      <c r="J26" s="28">
        <f ca="1">IF(A26&lt;&gt;"",Depreciation!F28,"")</f>
        <v>12125.283023735819</v>
      </c>
    </row>
    <row r="27" spans="1:14" x14ac:dyDescent="0.25">
      <c r="A27">
        <f t="shared" si="0"/>
        <v>26</v>
      </c>
      <c r="B27" s="14">
        <f t="shared" si="7"/>
        <v>46419</v>
      </c>
      <c r="C27" s="1">
        <f t="shared" si="4"/>
        <v>14397.495777308239</v>
      </c>
      <c r="D27" s="1">
        <f t="shared" si="1"/>
        <v>659.3836634359061</v>
      </c>
      <c r="E27" s="1">
        <v>340</v>
      </c>
      <c r="F27">
        <f t="shared" si="2"/>
        <v>167.97078406859612</v>
      </c>
      <c r="G27" s="1">
        <f t="shared" si="5"/>
        <v>831.41287936730998</v>
      </c>
      <c r="H27" s="1">
        <f t="shared" si="6"/>
        <v>18433.917102059077</v>
      </c>
      <c r="I27" s="1">
        <f t="shared" si="3"/>
        <v>13566.082897940929</v>
      </c>
      <c r="J27" s="28">
        <f ca="1">IF(A27&lt;&gt;"",Depreciation!F29,"")</f>
        <v>11511.627678018584</v>
      </c>
    </row>
    <row r="28" spans="1:14" x14ac:dyDescent="0.25">
      <c r="A28">
        <f t="shared" si="0"/>
        <v>27</v>
      </c>
      <c r="B28" s="14">
        <f t="shared" si="7"/>
        <v>46447</v>
      </c>
      <c r="C28" s="1">
        <f t="shared" si="4"/>
        <v>13566.082897940929</v>
      </c>
      <c r="D28" s="1">
        <f t="shared" si="1"/>
        <v>659.3836634359061</v>
      </c>
      <c r="E28" s="1">
        <v>340</v>
      </c>
      <c r="F28">
        <f t="shared" si="2"/>
        <v>158.27096714264417</v>
      </c>
      <c r="G28" s="1">
        <f t="shared" si="5"/>
        <v>841.11269629326193</v>
      </c>
      <c r="H28" s="1">
        <f t="shared" si="6"/>
        <v>19275.029798352338</v>
      </c>
      <c r="I28" s="1">
        <f t="shared" si="3"/>
        <v>12724.970201647668</v>
      </c>
      <c r="J28" s="28">
        <f ca="1">IF(A28&lt;&gt;"",Depreciation!F30,"")</f>
        <v>10897.972332301348</v>
      </c>
    </row>
    <row r="29" spans="1:14" x14ac:dyDescent="0.25">
      <c r="A29">
        <f t="shared" si="0"/>
        <v>28</v>
      </c>
      <c r="B29" s="14">
        <f t="shared" si="7"/>
        <v>46478</v>
      </c>
      <c r="C29" s="1">
        <f t="shared" si="4"/>
        <v>12724.970201647668</v>
      </c>
      <c r="D29" s="1">
        <f t="shared" si="1"/>
        <v>659.3836634359061</v>
      </c>
      <c r="E29" s="1">
        <v>340</v>
      </c>
      <c r="F29">
        <f t="shared" si="2"/>
        <v>148.45798568588947</v>
      </c>
      <c r="G29" s="1">
        <f t="shared" si="5"/>
        <v>850.92567775001658</v>
      </c>
      <c r="H29" s="1">
        <f t="shared" si="6"/>
        <v>20125.955476102354</v>
      </c>
      <c r="I29" s="1">
        <f t="shared" si="3"/>
        <v>11874.044523897652</v>
      </c>
      <c r="J29" s="28">
        <f ca="1">IF(A29&lt;&gt;"",Depreciation!F31,"")</f>
        <v>10284.316986584112</v>
      </c>
    </row>
    <row r="30" spans="1:14" x14ac:dyDescent="0.25">
      <c r="A30">
        <f t="shared" si="0"/>
        <v>29</v>
      </c>
      <c r="B30" s="14">
        <f t="shared" si="7"/>
        <v>46508</v>
      </c>
      <c r="C30" s="1">
        <f t="shared" si="4"/>
        <v>11874.044523897652</v>
      </c>
      <c r="D30" s="1">
        <f t="shared" si="1"/>
        <v>659.3836634359061</v>
      </c>
      <c r="E30" s="1">
        <v>340</v>
      </c>
      <c r="F30">
        <f t="shared" si="2"/>
        <v>138.53051944547261</v>
      </c>
      <c r="G30" s="1">
        <f t="shared" si="5"/>
        <v>860.85314399043352</v>
      </c>
      <c r="H30" s="1">
        <f t="shared" si="6"/>
        <v>20986.808620092786</v>
      </c>
      <c r="I30" s="1">
        <f t="shared" si="3"/>
        <v>11013.191379907219</v>
      </c>
      <c r="J30" s="28">
        <f ca="1">IF(A30&lt;&gt;"",Depreciation!F32,"")</f>
        <v>9670.6616408668779</v>
      </c>
    </row>
    <row r="31" spans="1:14" x14ac:dyDescent="0.25">
      <c r="A31">
        <f t="shared" si="0"/>
        <v>30</v>
      </c>
      <c r="B31" s="14">
        <f t="shared" si="7"/>
        <v>46539</v>
      </c>
      <c r="C31" s="1">
        <f t="shared" si="4"/>
        <v>11013.191379907219</v>
      </c>
      <c r="D31" s="1">
        <f t="shared" si="1"/>
        <v>659.3836634359061</v>
      </c>
      <c r="E31" s="1">
        <v>340</v>
      </c>
      <c r="F31">
        <f t="shared" si="2"/>
        <v>128.48723276558422</v>
      </c>
      <c r="G31" s="1">
        <f t="shared" si="5"/>
        <v>870.89643067032193</v>
      </c>
      <c r="H31" s="1">
        <f t="shared" si="6"/>
        <v>21857.705050763107</v>
      </c>
      <c r="I31" s="1">
        <f t="shared" si="3"/>
        <v>10142.294949236897</v>
      </c>
      <c r="J31" s="28">
        <f ca="1">IF(A31&lt;&gt;"",Depreciation!F33,"")</f>
        <v>9057.006295149642</v>
      </c>
    </row>
    <row r="32" spans="1:14" x14ac:dyDescent="0.25">
      <c r="A32">
        <f t="shared" si="0"/>
        <v>31</v>
      </c>
      <c r="B32" s="14">
        <f t="shared" si="7"/>
        <v>46569</v>
      </c>
      <c r="C32" s="1">
        <f t="shared" si="4"/>
        <v>10142.294949236897</v>
      </c>
      <c r="D32" s="1">
        <f t="shared" si="1"/>
        <v>659.3836634359061</v>
      </c>
      <c r="E32" s="1">
        <v>340</v>
      </c>
      <c r="F32">
        <f t="shared" si="2"/>
        <v>118.32677440776381</v>
      </c>
      <c r="G32" s="1">
        <f t="shared" si="5"/>
        <v>881.05688902814234</v>
      </c>
      <c r="H32" s="1">
        <f t="shared" si="6"/>
        <v>22738.761939791249</v>
      </c>
      <c r="I32" s="1">
        <f t="shared" si="3"/>
        <v>9261.2380602087542</v>
      </c>
      <c r="J32" s="28">
        <f ca="1">IF(A32&lt;&gt;"",Depreciation!F34,"")</f>
        <v>8443.3509494324062</v>
      </c>
    </row>
    <row r="33" spans="1:10" x14ac:dyDescent="0.25">
      <c r="A33">
        <f t="shared" si="0"/>
        <v>32</v>
      </c>
      <c r="B33" s="14">
        <f t="shared" si="7"/>
        <v>46600</v>
      </c>
      <c r="C33" s="1">
        <f t="shared" si="4"/>
        <v>9261.2380602087542</v>
      </c>
      <c r="D33" s="1">
        <f t="shared" si="1"/>
        <v>659.3836634359061</v>
      </c>
      <c r="E33" s="1">
        <v>340</v>
      </c>
      <c r="F33">
        <f t="shared" si="2"/>
        <v>108.04777736910214</v>
      </c>
      <c r="G33" s="1">
        <f t="shared" si="5"/>
        <v>891.33588606680394</v>
      </c>
      <c r="H33" s="1">
        <f t="shared" si="6"/>
        <v>23630.097825858054</v>
      </c>
      <c r="I33" s="1">
        <f t="shared" si="3"/>
        <v>8369.902174141951</v>
      </c>
      <c r="J33" s="28">
        <f ca="1">IF(A33&lt;&gt;"",Depreciation!F35,"")</f>
        <v>7829.6956037151704</v>
      </c>
    </row>
    <row r="34" spans="1:10" x14ac:dyDescent="0.25">
      <c r="A34">
        <f t="shared" ref="A34:A61" si="8">IF(ROW(A34)-ROW($A$1) &lt;= $M$5, ROW(A34)-ROW($A$1), "")</f>
        <v>33</v>
      </c>
      <c r="B34" s="14">
        <f>IF(A34&lt;&gt;"", EDATE(B33,1), "")</f>
        <v>46631</v>
      </c>
      <c r="C34" s="1">
        <f t="shared" si="4"/>
        <v>8369.902174141951</v>
      </c>
      <c r="D34" s="1">
        <f t="shared" ref="D34:D61" si="9">IF(A34&lt;&gt;"", $M$6, "")</f>
        <v>659.3836634359061</v>
      </c>
      <c r="E34" s="1"/>
      <c r="F34">
        <f t="shared" ref="F34:F61" si="10">IF(A34&lt;&gt;"", C34 * ($M$4 / 12), "")</f>
        <v>97.648858698322769</v>
      </c>
      <c r="G34" s="1">
        <f t="shared" si="5"/>
        <v>561.73480473758332</v>
      </c>
      <c r="H34" s="1">
        <f t="shared" si="6"/>
        <v>24191.832630595636</v>
      </c>
      <c r="I34" s="1">
        <f t="shared" ref="I34:I61" si="11">IF(A34&lt;&gt;"", C34 - G34, "")</f>
        <v>7808.1673694043675</v>
      </c>
      <c r="J34" s="28">
        <f ca="1">IF(A34&lt;&gt;"",Depreciation!F36,"")</f>
        <v>7216.0402579979345</v>
      </c>
    </row>
    <row r="35" spans="1:10" x14ac:dyDescent="0.25">
      <c r="A35">
        <f t="shared" si="8"/>
        <v>34</v>
      </c>
      <c r="B35" s="14">
        <f t="shared" si="7"/>
        <v>46661</v>
      </c>
      <c r="C35" s="1">
        <f t="shared" ref="C35:C61" si="12">IF(A35&lt;&gt;"", I34, "")</f>
        <v>7808.1673694043675</v>
      </c>
      <c r="D35" s="1">
        <f t="shared" si="9"/>
        <v>659.3836634359061</v>
      </c>
      <c r="E35" s="1"/>
      <c r="F35">
        <f t="shared" si="10"/>
        <v>91.095285976384289</v>
      </c>
      <c r="G35" s="1">
        <f t="shared" si="5"/>
        <v>568.28837745952183</v>
      </c>
      <c r="H35" s="1">
        <f t="shared" ref="H35:H66" si="13">IF(A35&lt;&gt;"",H34+G35,"")</f>
        <v>24760.121008055157</v>
      </c>
      <c r="I35" s="1">
        <f t="shared" si="11"/>
        <v>7239.8789919448454</v>
      </c>
      <c r="J35" s="28">
        <f ca="1">IF(A35&lt;&gt;"",Depreciation!F37,"")</f>
        <v>6602.3849122806987</v>
      </c>
    </row>
    <row r="36" spans="1:10" x14ac:dyDescent="0.25">
      <c r="A36">
        <f t="shared" si="8"/>
        <v>35</v>
      </c>
      <c r="B36" s="14">
        <f t="shared" si="7"/>
        <v>46692</v>
      </c>
      <c r="C36" s="1">
        <f t="shared" si="12"/>
        <v>7239.8789919448454</v>
      </c>
      <c r="D36" s="1">
        <f t="shared" si="9"/>
        <v>659.3836634359061</v>
      </c>
      <c r="E36" s="1"/>
      <c r="F36">
        <f t="shared" si="10"/>
        <v>84.465254906023205</v>
      </c>
      <c r="G36" s="1">
        <f t="shared" si="5"/>
        <v>574.91840852988287</v>
      </c>
      <c r="H36" s="1">
        <f t="shared" si="13"/>
        <v>25335.039416585041</v>
      </c>
      <c r="I36" s="1">
        <f t="shared" si="11"/>
        <v>6664.9605834149625</v>
      </c>
      <c r="J36" s="28">
        <f ca="1">IF(A36&lt;&gt;"",Depreciation!F38,"")</f>
        <v>5988.7295665634629</v>
      </c>
    </row>
    <row r="37" spans="1:10" x14ac:dyDescent="0.25">
      <c r="A37">
        <f t="shared" si="8"/>
        <v>36</v>
      </c>
      <c r="B37" s="14">
        <f t="shared" si="7"/>
        <v>46722</v>
      </c>
      <c r="C37" s="1">
        <f t="shared" si="12"/>
        <v>6664.9605834149625</v>
      </c>
      <c r="D37" s="1">
        <f t="shared" si="9"/>
        <v>659.3836634359061</v>
      </c>
      <c r="E37" s="1"/>
      <c r="F37">
        <f t="shared" si="10"/>
        <v>77.75787347317457</v>
      </c>
      <c r="G37" s="1">
        <f t="shared" si="5"/>
        <v>581.62578996273157</v>
      </c>
      <c r="H37" s="1">
        <f t="shared" si="13"/>
        <v>25916.665206547772</v>
      </c>
      <c r="I37" s="1">
        <f t="shared" si="11"/>
        <v>6083.3347934522308</v>
      </c>
      <c r="J37" s="28">
        <f ca="1">IF(A37&lt;&gt;"",Depreciation!F39,"")</f>
        <v>5428.4075541795646</v>
      </c>
    </row>
    <row r="38" spans="1:10" x14ac:dyDescent="0.25">
      <c r="A38">
        <f t="shared" si="8"/>
        <v>37</v>
      </c>
      <c r="B38" s="14">
        <f t="shared" si="7"/>
        <v>46753</v>
      </c>
      <c r="C38" s="1">
        <f t="shared" si="12"/>
        <v>6083.3347934522308</v>
      </c>
      <c r="D38" s="1">
        <f t="shared" si="9"/>
        <v>659.3836634359061</v>
      </c>
      <c r="E38" s="1"/>
      <c r="F38">
        <f t="shared" si="10"/>
        <v>70.9722392569427</v>
      </c>
      <c r="G38" s="1">
        <f t="shared" si="5"/>
        <v>588.41142417896344</v>
      </c>
      <c r="H38" s="1">
        <f t="shared" si="13"/>
        <v>26505.076630726737</v>
      </c>
      <c r="I38" s="1">
        <f t="shared" si="11"/>
        <v>5494.9233692732669</v>
      </c>
      <c r="J38" s="28">
        <f ca="1">IF(A38&lt;&gt;"",Depreciation!F40,"")</f>
        <v>4868.0855417956645</v>
      </c>
    </row>
    <row r="39" spans="1:10" x14ac:dyDescent="0.25">
      <c r="A39">
        <f t="shared" si="8"/>
        <v>38</v>
      </c>
      <c r="B39" s="14">
        <f t="shared" si="7"/>
        <v>46784</v>
      </c>
      <c r="C39" s="1">
        <f t="shared" si="12"/>
        <v>5494.9233692732669</v>
      </c>
      <c r="D39" s="1">
        <f t="shared" si="9"/>
        <v>659.3836634359061</v>
      </c>
      <c r="E39" s="1"/>
      <c r="F39">
        <f t="shared" si="10"/>
        <v>64.10743930818812</v>
      </c>
      <c r="G39" s="1">
        <f t="shared" si="5"/>
        <v>595.27622412771802</v>
      </c>
      <c r="H39" s="1">
        <f t="shared" si="13"/>
        <v>27100.352854854456</v>
      </c>
      <c r="I39" s="1">
        <f t="shared" si="11"/>
        <v>4899.6471451455491</v>
      </c>
      <c r="J39" s="28">
        <f ca="1">IF(A39&lt;&gt;"",Depreciation!F41,"")</f>
        <v>4307.7635294117645</v>
      </c>
    </row>
    <row r="40" spans="1:10" x14ac:dyDescent="0.25">
      <c r="A40">
        <f t="shared" si="8"/>
        <v>39</v>
      </c>
      <c r="B40" s="14">
        <f t="shared" si="7"/>
        <v>46813</v>
      </c>
      <c r="C40" s="1">
        <f t="shared" si="12"/>
        <v>4899.6471451455491</v>
      </c>
      <c r="D40" s="1">
        <f t="shared" si="9"/>
        <v>659.3836634359061</v>
      </c>
      <c r="E40" s="1"/>
      <c r="F40">
        <f t="shared" si="10"/>
        <v>57.162550026698078</v>
      </c>
      <c r="G40" s="1">
        <f t="shared" si="5"/>
        <v>602.22111340920799</v>
      </c>
      <c r="H40" s="1">
        <f t="shared" si="13"/>
        <v>27702.573968263663</v>
      </c>
      <c r="I40" s="1">
        <f t="shared" si="11"/>
        <v>4297.4260317363414</v>
      </c>
      <c r="J40" s="28">
        <f ca="1">IF(A40&lt;&gt;"",Depreciation!F42,"")</f>
        <v>3747.4415170278644</v>
      </c>
    </row>
    <row r="41" spans="1:10" x14ac:dyDescent="0.25">
      <c r="A41">
        <f t="shared" si="8"/>
        <v>40</v>
      </c>
      <c r="B41" s="14">
        <f t="shared" si="7"/>
        <v>46844</v>
      </c>
      <c r="C41" s="1">
        <f t="shared" si="12"/>
        <v>4297.4260317363414</v>
      </c>
      <c r="D41" s="1">
        <f t="shared" si="9"/>
        <v>659.3836634359061</v>
      </c>
      <c r="E41" s="1"/>
      <c r="F41">
        <f t="shared" si="10"/>
        <v>50.136637036923986</v>
      </c>
      <c r="G41" s="1">
        <f t="shared" si="5"/>
        <v>609.24702639898214</v>
      </c>
      <c r="H41" s="1">
        <f t="shared" si="13"/>
        <v>28311.820994662645</v>
      </c>
      <c r="I41" s="1">
        <f t="shared" si="11"/>
        <v>3688.1790053373593</v>
      </c>
      <c r="J41" s="28">
        <f ca="1">IF(A41&lt;&gt;"",Depreciation!F43,"")</f>
        <v>3187.1195046439643</v>
      </c>
    </row>
    <row r="42" spans="1:10" x14ac:dyDescent="0.25">
      <c r="A42">
        <f t="shared" si="8"/>
        <v>41</v>
      </c>
      <c r="B42" s="14">
        <f t="shared" si="7"/>
        <v>46874</v>
      </c>
      <c r="C42" s="1">
        <f t="shared" si="12"/>
        <v>3688.1790053373593</v>
      </c>
      <c r="D42" s="1">
        <f t="shared" si="9"/>
        <v>659.3836634359061</v>
      </c>
      <c r="E42" s="1"/>
      <c r="F42">
        <f t="shared" si="10"/>
        <v>43.028755062269191</v>
      </c>
      <c r="G42" s="1">
        <f t="shared" si="5"/>
        <v>616.35490837363693</v>
      </c>
      <c r="H42" s="1">
        <f t="shared" si="13"/>
        <v>28928.175903036281</v>
      </c>
      <c r="I42" s="1">
        <f t="shared" si="11"/>
        <v>3071.8240969637222</v>
      </c>
      <c r="J42" s="28">
        <f ca="1">IF(A42&lt;&gt;"",Depreciation!F44,"")</f>
        <v>2626.7974922600642</v>
      </c>
    </row>
    <row r="43" spans="1:10" x14ac:dyDescent="0.25">
      <c r="A43">
        <f t="shared" si="8"/>
        <v>42</v>
      </c>
      <c r="B43" s="14">
        <f t="shared" si="7"/>
        <v>46905</v>
      </c>
      <c r="C43" s="1">
        <f t="shared" si="12"/>
        <v>3071.8240969637222</v>
      </c>
      <c r="D43" s="1">
        <f t="shared" si="9"/>
        <v>659.3836634359061</v>
      </c>
      <c r="E43" s="1"/>
      <c r="F43">
        <f t="shared" si="10"/>
        <v>35.837947797910097</v>
      </c>
      <c r="G43" s="1">
        <f t="shared" si="5"/>
        <v>623.54571563799595</v>
      </c>
      <c r="H43" s="1">
        <f t="shared" si="13"/>
        <v>29551.721618674277</v>
      </c>
      <c r="I43" s="1">
        <f t="shared" si="11"/>
        <v>2448.2783813257265</v>
      </c>
      <c r="J43" s="28">
        <f ca="1">IF(A43&lt;&gt;"",Depreciation!F45,"")</f>
        <v>2066.475479876166</v>
      </c>
    </row>
    <row r="44" spans="1:10" x14ac:dyDescent="0.25">
      <c r="A44">
        <f t="shared" si="8"/>
        <v>43</v>
      </c>
      <c r="B44" s="14">
        <f t="shared" si="7"/>
        <v>46935</v>
      </c>
      <c r="C44" s="1">
        <f t="shared" si="12"/>
        <v>2448.2783813257265</v>
      </c>
      <c r="D44" s="1">
        <f t="shared" si="9"/>
        <v>659.3836634359061</v>
      </c>
      <c r="E44" s="1"/>
      <c r="F44">
        <f t="shared" si="10"/>
        <v>28.563247782133477</v>
      </c>
      <c r="G44" s="1">
        <f t="shared" si="5"/>
        <v>630.82041565377267</v>
      </c>
      <c r="H44" s="1">
        <f t="shared" si="13"/>
        <v>30182.542034328049</v>
      </c>
      <c r="I44" s="1">
        <f t="shared" si="11"/>
        <v>1817.4579656719538</v>
      </c>
      <c r="J44" s="28">
        <f ca="1">IF(A44&lt;&gt;"",Depreciation!F46,"")</f>
        <v>1506.1534674922659</v>
      </c>
    </row>
    <row r="45" spans="1:10" x14ac:dyDescent="0.25">
      <c r="A45">
        <f t="shared" si="8"/>
        <v>44</v>
      </c>
      <c r="B45" s="14">
        <f>IF(A45&lt;&gt;"", EDATE(B44,1), "")</f>
        <v>46966</v>
      </c>
      <c r="C45" s="1">
        <f t="shared" si="12"/>
        <v>1817.4579656719538</v>
      </c>
      <c r="D45" s="1">
        <f t="shared" si="9"/>
        <v>659.3836634359061</v>
      </c>
      <c r="E45" s="1"/>
      <c r="F45">
        <f t="shared" si="10"/>
        <v>21.203676266172796</v>
      </c>
      <c r="G45" s="1">
        <f t="shared" si="5"/>
        <v>638.17998716973329</v>
      </c>
      <c r="H45" s="1">
        <f t="shared" si="13"/>
        <v>30820.722021497782</v>
      </c>
      <c r="I45" s="1">
        <f t="shared" si="11"/>
        <v>1179.2779785022205</v>
      </c>
      <c r="J45" s="28">
        <f ca="1">IF(A45&lt;&gt;"",Depreciation!F47,"")</f>
        <v>945.83145510836403</v>
      </c>
    </row>
    <row r="46" spans="1:10" x14ac:dyDescent="0.25">
      <c r="A46">
        <f t="shared" si="8"/>
        <v>45</v>
      </c>
      <c r="B46" s="14">
        <f t="shared" si="7"/>
        <v>46997</v>
      </c>
      <c r="C46" s="1">
        <f t="shared" si="12"/>
        <v>1179.2779785022205</v>
      </c>
      <c r="D46" s="1">
        <f t="shared" si="9"/>
        <v>659.3836634359061</v>
      </c>
      <c r="E46" s="1"/>
      <c r="F46">
        <f t="shared" si="10"/>
        <v>13.758243082525906</v>
      </c>
      <c r="G46" s="1">
        <f t="shared" si="5"/>
        <v>645.62542035338015</v>
      </c>
      <c r="H46" s="1">
        <f t="shared" si="13"/>
        <v>31466.347441851161</v>
      </c>
      <c r="I46" s="1">
        <f t="shared" si="11"/>
        <v>533.6525581488404</v>
      </c>
      <c r="J46" s="28">
        <f ca="1">IF(A46&lt;&gt;"",Depreciation!F48,"")</f>
        <v>385.50944272446213</v>
      </c>
    </row>
    <row r="47" spans="1:10" x14ac:dyDescent="0.25">
      <c r="A47">
        <f t="shared" si="8"/>
        <v>46</v>
      </c>
      <c r="B47" s="14">
        <f t="shared" si="7"/>
        <v>47027</v>
      </c>
      <c r="C47" s="1">
        <f t="shared" si="12"/>
        <v>533.6525581488404</v>
      </c>
      <c r="D47" s="1">
        <f t="shared" si="9"/>
        <v>659.3836634359061</v>
      </c>
      <c r="E47" s="1"/>
      <c r="F47">
        <f t="shared" si="10"/>
        <v>6.2259465117364714</v>
      </c>
      <c r="G47" s="1">
        <f t="shared" si="5"/>
        <v>653.15771692416968</v>
      </c>
      <c r="H47" s="1">
        <f t="shared" si="13"/>
        <v>32119.50515877533</v>
      </c>
      <c r="I47" s="1">
        <f t="shared" si="11"/>
        <v>-119.50515877532928</v>
      </c>
      <c r="J47" s="28">
        <f ca="1">IF(A47&lt;&gt;"",Depreciation!F49,"")</f>
        <v>-174.81256965943976</v>
      </c>
    </row>
    <row r="48" spans="1:10" x14ac:dyDescent="0.25">
      <c r="A48">
        <f t="shared" si="8"/>
        <v>47</v>
      </c>
      <c r="B48" s="14">
        <f t="shared" si="7"/>
        <v>47058</v>
      </c>
      <c r="C48" s="1">
        <f t="shared" si="12"/>
        <v>-119.50515877532928</v>
      </c>
      <c r="D48" s="1">
        <f t="shared" si="9"/>
        <v>659.3836634359061</v>
      </c>
      <c r="E48" s="1"/>
      <c r="F48">
        <f t="shared" si="10"/>
        <v>-1.3942268523788417</v>
      </c>
      <c r="G48" s="1">
        <f t="shared" si="5"/>
        <v>660.77789028828499</v>
      </c>
      <c r="H48" s="1">
        <f t="shared" si="13"/>
        <v>32780.283049063612</v>
      </c>
      <c r="I48" s="1">
        <f t="shared" si="11"/>
        <v>-780.28304906361427</v>
      </c>
      <c r="J48" s="28">
        <f ca="1">IF(A48&lt;&gt;"",Depreciation!F50,"")</f>
        <v>-735.13458204334165</v>
      </c>
    </row>
    <row r="49" spans="1:10" x14ac:dyDescent="0.25">
      <c r="A49">
        <f t="shared" si="8"/>
        <v>48</v>
      </c>
      <c r="B49" s="14">
        <f t="shared" si="7"/>
        <v>47088</v>
      </c>
      <c r="C49" s="1">
        <f t="shared" si="12"/>
        <v>-780.28304906361427</v>
      </c>
      <c r="D49" s="1">
        <f t="shared" si="9"/>
        <v>659.3836634359061</v>
      </c>
      <c r="E49" s="1"/>
      <c r="F49">
        <f t="shared" si="10"/>
        <v>-9.1033022390755001</v>
      </c>
      <c r="G49" s="1">
        <f t="shared" si="5"/>
        <v>668.48696567498155</v>
      </c>
      <c r="H49" s="1">
        <f t="shared" si="13"/>
        <v>33448.770014738591</v>
      </c>
      <c r="I49" s="1">
        <f t="shared" si="11"/>
        <v>-1448.7700147385958</v>
      </c>
      <c r="J49" s="28">
        <f ca="1">IF(A49&lt;&gt;"",Depreciation!F51,"")</f>
        <v>-1215.4565944272417</v>
      </c>
    </row>
    <row r="50" spans="1:10" x14ac:dyDescent="0.25">
      <c r="A50">
        <f t="shared" si="8"/>
        <v>49</v>
      </c>
      <c r="B50" s="14">
        <f t="shared" si="7"/>
        <v>47119</v>
      </c>
      <c r="C50" s="1">
        <f t="shared" si="12"/>
        <v>-1448.7700147385958</v>
      </c>
      <c r="D50" s="1">
        <f t="shared" si="9"/>
        <v>659.3836634359061</v>
      </c>
      <c r="E50" s="1"/>
      <c r="F50">
        <f t="shared" si="10"/>
        <v>-16.902316838616951</v>
      </c>
      <c r="G50" s="1">
        <f t="shared" si="5"/>
        <v>676.28598027452301</v>
      </c>
      <c r="H50" s="1">
        <f t="shared" si="13"/>
        <v>34125.055995013114</v>
      </c>
      <c r="I50" s="1">
        <f t="shared" si="11"/>
        <v>-2125.0559950131187</v>
      </c>
      <c r="J50" s="28">
        <f ca="1">IF(A50&lt;&gt;"",Depreciation!F52,"")</f>
        <v>-1695.7786068111454</v>
      </c>
    </row>
    <row r="51" spans="1:10" x14ac:dyDescent="0.25">
      <c r="A51">
        <f t="shared" si="8"/>
        <v>50</v>
      </c>
      <c r="B51" s="14">
        <f t="shared" si="7"/>
        <v>47150</v>
      </c>
      <c r="C51" s="1">
        <f t="shared" si="12"/>
        <v>-2125.0559950131187</v>
      </c>
      <c r="D51" s="1">
        <f t="shared" si="9"/>
        <v>659.3836634359061</v>
      </c>
      <c r="E51" s="1"/>
      <c r="F51">
        <f t="shared" si="10"/>
        <v>-24.79231994181972</v>
      </c>
      <c r="G51" s="1">
        <f t="shared" si="5"/>
        <v>684.17598337772586</v>
      </c>
      <c r="H51" s="1">
        <f t="shared" si="13"/>
        <v>34809.231978390839</v>
      </c>
      <c r="I51" s="1">
        <f t="shared" si="11"/>
        <v>-2809.2319783908447</v>
      </c>
      <c r="J51" s="28">
        <f ca="1">IF(A51&lt;&gt;"",Depreciation!F53,"")</f>
        <v>-2176.1006191950455</v>
      </c>
    </row>
    <row r="52" spans="1:10" x14ac:dyDescent="0.25">
      <c r="A52">
        <f t="shared" si="8"/>
        <v>51</v>
      </c>
      <c r="B52" s="14">
        <f t="shared" si="7"/>
        <v>47178</v>
      </c>
      <c r="C52" s="1">
        <f t="shared" si="12"/>
        <v>-2809.2319783908447</v>
      </c>
      <c r="D52" s="1">
        <f t="shared" si="9"/>
        <v>659.3836634359061</v>
      </c>
      <c r="E52" s="1"/>
      <c r="F52">
        <f t="shared" si="10"/>
        <v>-32.774373081226521</v>
      </c>
      <c r="G52" s="1">
        <f t="shared" si="5"/>
        <v>692.15803651713259</v>
      </c>
      <c r="H52" s="1">
        <f t="shared" si="13"/>
        <v>35501.390014907971</v>
      </c>
      <c r="I52" s="1">
        <f t="shared" si="11"/>
        <v>-3501.3900149079773</v>
      </c>
      <c r="J52" s="28">
        <f ca="1">IF(A52&lt;&gt;"",Depreciation!F54,"")</f>
        <v>-2656.4226315789492</v>
      </c>
    </row>
    <row r="53" spans="1:10" x14ac:dyDescent="0.25">
      <c r="A53">
        <f t="shared" si="8"/>
        <v>52</v>
      </c>
      <c r="B53" s="14">
        <f t="shared" si="7"/>
        <v>47209</v>
      </c>
      <c r="C53" s="1">
        <f t="shared" si="12"/>
        <v>-3501.3900149079773</v>
      </c>
      <c r="D53" s="1">
        <f t="shared" si="9"/>
        <v>659.3836634359061</v>
      </c>
      <c r="E53" s="1"/>
      <c r="F53">
        <f t="shared" si="10"/>
        <v>-40.849550173926403</v>
      </c>
      <c r="G53" s="1">
        <f t="shared" si="5"/>
        <v>700.23321360983255</v>
      </c>
      <c r="H53" s="1">
        <f t="shared" si="13"/>
        <v>36201.623228517805</v>
      </c>
      <c r="I53" s="1">
        <f t="shared" si="11"/>
        <v>-4201.6232285178103</v>
      </c>
      <c r="J53" s="28">
        <f ca="1">IF(A53&lt;&gt;"",Depreciation!F55,"")</f>
        <v>-3136.7446439628493</v>
      </c>
    </row>
    <row r="54" spans="1:10" x14ac:dyDescent="0.25">
      <c r="A54">
        <f t="shared" si="8"/>
        <v>53</v>
      </c>
      <c r="B54" s="14">
        <f t="shared" si="7"/>
        <v>47239</v>
      </c>
      <c r="C54" s="1">
        <f t="shared" si="12"/>
        <v>-4201.6232285178103</v>
      </c>
      <c r="D54" s="1">
        <f t="shared" si="9"/>
        <v>659.3836634359061</v>
      </c>
      <c r="E54" s="1"/>
      <c r="F54">
        <f t="shared" si="10"/>
        <v>-49.018937666041126</v>
      </c>
      <c r="G54" s="1">
        <f t="shared" si="5"/>
        <v>708.4026011019472</v>
      </c>
      <c r="H54" s="1">
        <f t="shared" si="13"/>
        <v>36910.02582961975</v>
      </c>
      <c r="I54" s="1">
        <f t="shared" si="11"/>
        <v>-4910.0258296197571</v>
      </c>
      <c r="J54" s="28">
        <f ca="1">IF(A54&lt;&gt;"",Depreciation!F56,"")</f>
        <v>-3617.0666563467494</v>
      </c>
    </row>
    <row r="55" spans="1:10" x14ac:dyDescent="0.25">
      <c r="A55">
        <f t="shared" si="8"/>
        <v>54</v>
      </c>
      <c r="B55" s="14">
        <f t="shared" si="7"/>
        <v>47270</v>
      </c>
      <c r="C55" s="1">
        <f t="shared" si="12"/>
        <v>-4910.0258296197571</v>
      </c>
      <c r="D55" s="1">
        <f t="shared" si="9"/>
        <v>659.3836634359061</v>
      </c>
      <c r="E55" s="1"/>
      <c r="F55">
        <f t="shared" si="10"/>
        <v>-57.283634678897172</v>
      </c>
      <c r="G55" s="1">
        <f t="shared" si="5"/>
        <v>716.66729811480332</v>
      </c>
      <c r="H55" s="1">
        <f t="shared" si="13"/>
        <v>37626.69312773455</v>
      </c>
      <c r="I55" s="1">
        <f t="shared" si="11"/>
        <v>-5626.6931277345602</v>
      </c>
      <c r="J55" s="28">
        <f ca="1">IF(A55&lt;&gt;"",Depreciation!F57,"")</f>
        <v>-4097.3886687306531</v>
      </c>
    </row>
    <row r="56" spans="1:10" x14ac:dyDescent="0.25">
      <c r="A56">
        <f t="shared" si="8"/>
        <v>55</v>
      </c>
      <c r="B56" s="14">
        <f t="shared" si="7"/>
        <v>47300</v>
      </c>
      <c r="C56" s="1">
        <f t="shared" si="12"/>
        <v>-5626.6931277345602</v>
      </c>
      <c r="D56" s="1">
        <f t="shared" si="9"/>
        <v>659.3836634359061</v>
      </c>
      <c r="E56" s="1"/>
      <c r="F56">
        <f t="shared" si="10"/>
        <v>-65.644753156903207</v>
      </c>
      <c r="G56" s="1">
        <f t="shared" si="5"/>
        <v>725.02841659280932</v>
      </c>
      <c r="H56" s="1">
        <f t="shared" si="13"/>
        <v>38351.72154432736</v>
      </c>
      <c r="I56" s="1">
        <f t="shared" si="11"/>
        <v>-6351.7215443273699</v>
      </c>
      <c r="J56" s="28">
        <f ca="1">IF(A56&lt;&gt;"",Depreciation!F58,"")</f>
        <v>-4577.7106811145532</v>
      </c>
    </row>
    <row r="57" spans="1:10" x14ac:dyDescent="0.25">
      <c r="A57">
        <f t="shared" si="8"/>
        <v>56</v>
      </c>
      <c r="B57" s="14">
        <f t="shared" si="7"/>
        <v>47331</v>
      </c>
      <c r="C57" s="1">
        <f t="shared" si="12"/>
        <v>-6351.7215443273699</v>
      </c>
      <c r="D57" s="1">
        <f t="shared" si="9"/>
        <v>659.3836634359061</v>
      </c>
      <c r="E57" s="1"/>
      <c r="F57">
        <f t="shared" si="10"/>
        <v>-74.103418017152649</v>
      </c>
      <c r="G57" s="1">
        <f t="shared" si="5"/>
        <v>733.48708145305875</v>
      </c>
      <c r="H57" s="1">
        <f t="shared" si="13"/>
        <v>39085.208625780419</v>
      </c>
      <c r="I57" s="1">
        <f t="shared" si="11"/>
        <v>-7085.2086257804285</v>
      </c>
      <c r="J57" s="28">
        <f ca="1">IF(A57&lt;&gt;"",Depreciation!F59,"")</f>
        <v>-5058.0326934984569</v>
      </c>
    </row>
    <row r="58" spans="1:10" x14ac:dyDescent="0.25">
      <c r="A58">
        <f t="shared" si="8"/>
        <v>57</v>
      </c>
      <c r="B58" s="14">
        <f t="shared" si="7"/>
        <v>47362</v>
      </c>
      <c r="C58" s="1">
        <f t="shared" si="12"/>
        <v>-7085.2086257804285</v>
      </c>
      <c r="D58" s="1">
        <f t="shared" si="9"/>
        <v>659.3836634359061</v>
      </c>
      <c r="E58" s="1"/>
      <c r="F58">
        <f t="shared" si="10"/>
        <v>-82.660767300771667</v>
      </c>
      <c r="G58" s="1">
        <f t="shared" si="5"/>
        <v>742.04443073667778</v>
      </c>
      <c r="H58" s="1">
        <f t="shared" si="13"/>
        <v>39827.253056517096</v>
      </c>
      <c r="I58" s="1">
        <f t="shared" si="11"/>
        <v>-7827.2530565171064</v>
      </c>
      <c r="J58" s="28">
        <f ca="1">IF(A58&lt;&gt;"",Depreciation!F60,"")</f>
        <v>-5538.3547058823569</v>
      </c>
    </row>
    <row r="59" spans="1:10" x14ac:dyDescent="0.25">
      <c r="A59">
        <f t="shared" si="8"/>
        <v>58</v>
      </c>
      <c r="B59" s="14">
        <f t="shared" si="7"/>
        <v>47392</v>
      </c>
      <c r="C59" s="1">
        <f t="shared" si="12"/>
        <v>-7827.2530565171064</v>
      </c>
      <c r="D59" s="1">
        <f t="shared" si="9"/>
        <v>659.3836634359061</v>
      </c>
      <c r="E59" s="1"/>
      <c r="F59">
        <f t="shared" si="10"/>
        <v>-91.317952326032909</v>
      </c>
      <c r="G59" s="1">
        <f t="shared" si="5"/>
        <v>750.70161576193902</v>
      </c>
      <c r="H59" s="1">
        <f t="shared" si="13"/>
        <v>40577.954672279033</v>
      </c>
      <c r="I59" s="1">
        <f t="shared" si="11"/>
        <v>-8577.9546722790456</v>
      </c>
      <c r="J59" s="28">
        <f ca="1">IF(A59&lt;&gt;"",Depreciation!F61,"")</f>
        <v>-6018.676718266257</v>
      </c>
    </row>
    <row r="60" spans="1:10" x14ac:dyDescent="0.25">
      <c r="A60">
        <f t="shared" si="8"/>
        <v>59</v>
      </c>
      <c r="B60" s="14">
        <f t="shared" si="7"/>
        <v>47423</v>
      </c>
      <c r="C60" s="1">
        <f t="shared" si="12"/>
        <v>-8577.9546722790456</v>
      </c>
      <c r="D60" s="1">
        <f t="shared" si="9"/>
        <v>659.3836634359061</v>
      </c>
      <c r="E60" s="1"/>
      <c r="F60">
        <f t="shared" si="10"/>
        <v>-100.07613784325554</v>
      </c>
      <c r="G60" s="1">
        <f t="shared" si="5"/>
        <v>759.45980127916164</v>
      </c>
      <c r="H60" s="1">
        <f t="shared" si="13"/>
        <v>41337.414473558194</v>
      </c>
      <c r="I60" s="1">
        <f t="shared" si="11"/>
        <v>-9337.4144735582067</v>
      </c>
      <c r="J60" s="28">
        <f ca="1">IF(A60&lt;&gt;"",Depreciation!F62,"")</f>
        <v>-6498.9987306501607</v>
      </c>
    </row>
    <row r="61" spans="1:10" x14ac:dyDescent="0.25">
      <c r="A61">
        <f t="shared" si="8"/>
        <v>60</v>
      </c>
      <c r="B61" s="14">
        <f t="shared" si="7"/>
        <v>47453</v>
      </c>
      <c r="C61" s="1">
        <f t="shared" si="12"/>
        <v>-9337.4144735582067</v>
      </c>
      <c r="D61" s="1">
        <f t="shared" si="9"/>
        <v>659.3836634359061</v>
      </c>
      <c r="E61" s="1"/>
      <c r="F61">
        <f t="shared" si="10"/>
        <v>-108.93650219151242</v>
      </c>
      <c r="G61" s="1">
        <f t="shared" si="5"/>
        <v>768.32016562741853</v>
      </c>
      <c r="H61" s="1">
        <f t="shared" si="13"/>
        <v>42105.734639185612</v>
      </c>
      <c r="I61" s="1">
        <f t="shared" si="11"/>
        <v>-10105.734639185624</v>
      </c>
      <c r="J61" s="28">
        <f ca="1">IF(A61&lt;&gt;"",Depreciation!F63,"")</f>
        <v>-6979.3207430340608</v>
      </c>
    </row>
  </sheetData>
  <mergeCells count="1">
    <mergeCell ref="L23:N23"/>
  </mergeCells>
  <dataValidations count="1">
    <dataValidation type="list" allowBlank="1" showInputMessage="1" showErrorMessage="1" sqref="M5" xr:uid="{820847AF-071F-42AA-8571-98172BC03337}">
      <formula1>$N$11:$N$15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5CDD-BDA6-41FF-B335-4BD28C3C4C29}">
  <sheetPr codeName="Sheet3"/>
  <dimension ref="A1:N90"/>
  <sheetViews>
    <sheetView workbookViewId="0">
      <selection activeCell="J14" sqref="J14"/>
    </sheetView>
  </sheetViews>
  <sheetFormatPr defaultRowHeight="15" x14ac:dyDescent="0.25"/>
  <cols>
    <col min="1" max="1" width="12" customWidth="1"/>
    <col min="3" max="3" width="17.28515625" bestFit="1" customWidth="1"/>
    <col min="5" max="5" width="16.5703125" customWidth="1"/>
    <col min="6" max="6" width="13.42578125" bestFit="1" customWidth="1"/>
    <col min="7" max="7" width="24.7109375" bestFit="1" customWidth="1"/>
    <col min="8" max="8" width="5.28515625" customWidth="1"/>
    <col min="9" max="9" width="30.5703125" customWidth="1"/>
    <col min="13" max="14" width="12" bestFit="1" customWidth="1"/>
  </cols>
  <sheetData>
    <row r="1" spans="1:14" x14ac:dyDescent="0.25">
      <c r="A1" s="23" t="s">
        <v>34</v>
      </c>
      <c r="B1" s="24" t="s">
        <v>33</v>
      </c>
      <c r="C1" s="24" t="s">
        <v>35</v>
      </c>
      <c r="D1" s="24" t="s">
        <v>37</v>
      </c>
      <c r="F1" t="s">
        <v>36</v>
      </c>
    </row>
    <row r="2" spans="1:14" x14ac:dyDescent="0.25">
      <c r="A2" s="15">
        <v>45638</v>
      </c>
      <c r="B2">
        <v>68</v>
      </c>
      <c r="C2">
        <v>200</v>
      </c>
      <c r="D2" s="12">
        <f>A2-WEEKDAY(A2,2)+1</f>
        <v>45635</v>
      </c>
      <c r="F2">
        <f>$C$2/$B$2</f>
        <v>2.9411764705882355</v>
      </c>
    </row>
    <row r="3" spans="1:14" x14ac:dyDescent="0.25">
      <c r="A3" s="15">
        <v>45596</v>
      </c>
      <c r="B3" s="10">
        <v>40.165999999999997</v>
      </c>
      <c r="C3">
        <f>B3*$F$2</f>
        <v>118.13529411764706</v>
      </c>
      <c r="D3" s="12">
        <f t="shared" ref="D3:D66" si="0">A3-WEEKDAY(A3,2)+1</f>
        <v>45593</v>
      </c>
    </row>
    <row r="4" spans="1:14" x14ac:dyDescent="0.25">
      <c r="A4" s="15">
        <v>45595</v>
      </c>
      <c r="B4" s="10">
        <v>47.252000000000002</v>
      </c>
      <c r="C4">
        <f t="shared" ref="C4:C67" si="1">B4*$F$2</f>
        <v>138.97647058823532</v>
      </c>
      <c r="D4" s="12">
        <f t="shared" si="0"/>
        <v>45593</v>
      </c>
    </row>
    <row r="5" spans="1:14" x14ac:dyDescent="0.25">
      <c r="A5" s="15">
        <v>45593</v>
      </c>
      <c r="B5" s="10">
        <v>55.642000000000003</v>
      </c>
      <c r="C5">
        <f t="shared" si="1"/>
        <v>163.65294117647062</v>
      </c>
      <c r="D5" s="12">
        <f t="shared" si="0"/>
        <v>45593</v>
      </c>
      <c r="I5" t="s">
        <v>102</v>
      </c>
      <c r="J5">
        <f>Outputs!B8</f>
        <v>26000</v>
      </c>
    </row>
    <row r="6" spans="1:14" x14ac:dyDescent="0.25">
      <c r="A6" s="15">
        <v>45592</v>
      </c>
      <c r="B6" s="10">
        <v>66.191999999999993</v>
      </c>
      <c r="C6">
        <f t="shared" si="1"/>
        <v>194.68235294117648</v>
      </c>
      <c r="D6" s="12">
        <f t="shared" si="0"/>
        <v>45586</v>
      </c>
      <c r="F6" s="16" t="s">
        <v>38</v>
      </c>
      <c r="G6" t="s">
        <v>39</v>
      </c>
      <c r="I6" t="s">
        <v>40</v>
      </c>
      <c r="J6">
        <f ca="1">AVERAGE(PivotMileage)</f>
        <v>589.20464396284842</v>
      </c>
      <c r="M6" t="s">
        <v>42</v>
      </c>
      <c r="N6" t="s">
        <v>45</v>
      </c>
    </row>
    <row r="7" spans="1:14" x14ac:dyDescent="0.25">
      <c r="A7" s="15">
        <v>45592</v>
      </c>
      <c r="B7" s="10">
        <v>12.676</v>
      </c>
      <c r="C7">
        <f t="shared" si="1"/>
        <v>37.282352941176477</v>
      </c>
      <c r="D7" s="12">
        <f t="shared" si="0"/>
        <v>45586</v>
      </c>
      <c r="F7" s="17">
        <v>45481</v>
      </c>
      <c r="G7">
        <v>491.73529411764707</v>
      </c>
      <c r="I7" t="s">
        <v>79</v>
      </c>
      <c r="J7">
        <v>0.06</v>
      </c>
      <c r="M7" s="18">
        <v>2020</v>
      </c>
      <c r="N7">
        <v>0.57499999999999996</v>
      </c>
    </row>
    <row r="8" spans="1:14" x14ac:dyDescent="0.25">
      <c r="A8" s="15">
        <v>45589</v>
      </c>
      <c r="B8" s="10">
        <v>45.18</v>
      </c>
      <c r="C8">
        <f t="shared" si="1"/>
        <v>132.88235294117649</v>
      </c>
      <c r="D8" s="12">
        <f t="shared" si="0"/>
        <v>45586</v>
      </c>
      <c r="F8" s="17">
        <v>45488</v>
      </c>
      <c r="G8">
        <v>289.61764705882354</v>
      </c>
      <c r="I8" t="s">
        <v>41</v>
      </c>
      <c r="J8">
        <f ca="1">J6*4</f>
        <v>2356.8185758513937</v>
      </c>
      <c r="M8" s="18">
        <v>2021</v>
      </c>
      <c r="N8">
        <v>0.56000000000000005</v>
      </c>
    </row>
    <row r="9" spans="1:14" x14ac:dyDescent="0.25">
      <c r="A9" s="15">
        <v>45588</v>
      </c>
      <c r="B9" s="10">
        <v>53.975000000000001</v>
      </c>
      <c r="C9">
        <f t="shared" si="1"/>
        <v>158.75000000000003</v>
      </c>
      <c r="D9" s="12">
        <f t="shared" si="0"/>
        <v>45586</v>
      </c>
      <c r="F9" s="17">
        <v>45495</v>
      </c>
      <c r="G9">
        <v>372.11764705882354</v>
      </c>
      <c r="I9" t="s">
        <v>62</v>
      </c>
      <c r="M9" s="18" t="s">
        <v>44</v>
      </c>
      <c r="N9">
        <v>0.58499999999999996</v>
      </c>
    </row>
    <row r="10" spans="1:14" x14ac:dyDescent="0.25">
      <c r="A10" s="15">
        <v>45585</v>
      </c>
      <c r="B10" s="10">
        <v>56.656999999999996</v>
      </c>
      <c r="C10">
        <f t="shared" si="1"/>
        <v>166.63823529411764</v>
      </c>
      <c r="D10" s="12">
        <f t="shared" si="0"/>
        <v>45579</v>
      </c>
      <c r="F10" s="17">
        <v>45502</v>
      </c>
      <c r="G10">
        <v>643.11764705882354</v>
      </c>
      <c r="I10" s="18">
        <v>1</v>
      </c>
      <c r="J10">
        <f ca="1">J6*52+$J$5</f>
        <v>56638.641486068118</v>
      </c>
      <c r="M10" s="18" t="s">
        <v>43</v>
      </c>
      <c r="N10">
        <v>0.625</v>
      </c>
    </row>
    <row r="11" spans="1:14" x14ac:dyDescent="0.25">
      <c r="A11" s="15">
        <v>45583</v>
      </c>
      <c r="B11" s="10">
        <v>65.765000000000001</v>
      </c>
      <c r="C11">
        <f t="shared" si="1"/>
        <v>193.4264705882353</v>
      </c>
      <c r="D11" s="12">
        <f t="shared" si="0"/>
        <v>45579</v>
      </c>
      <c r="F11" s="17">
        <v>45509</v>
      </c>
      <c r="G11">
        <v>380.05882352941177</v>
      </c>
      <c r="I11" s="18">
        <v>2</v>
      </c>
      <c r="J11">
        <f ca="1">$J$6*52+$J10</f>
        <v>87277.282972136236</v>
      </c>
      <c r="M11" s="18">
        <v>2023</v>
      </c>
      <c r="N11">
        <v>0.65500000000000003</v>
      </c>
    </row>
    <row r="12" spans="1:14" x14ac:dyDescent="0.25">
      <c r="A12" s="15">
        <v>45581</v>
      </c>
      <c r="B12" s="10">
        <v>47.692</v>
      </c>
      <c r="C12">
        <f t="shared" si="1"/>
        <v>140.27058823529413</v>
      </c>
      <c r="D12" s="12">
        <f t="shared" si="0"/>
        <v>45579</v>
      </c>
      <c r="F12" s="17">
        <v>45516</v>
      </c>
      <c r="G12">
        <v>346.35294117647061</v>
      </c>
      <c r="I12" s="18">
        <v>2.5</v>
      </c>
      <c r="J12">
        <f ca="1">$J$6*26+J11</f>
        <v>102596.60371517029</v>
      </c>
      <c r="M12" s="18">
        <v>2024</v>
      </c>
      <c r="N12">
        <v>0.67</v>
      </c>
    </row>
    <row r="13" spans="1:14" x14ac:dyDescent="0.25">
      <c r="A13" s="15">
        <v>45580</v>
      </c>
      <c r="B13" s="10">
        <v>51.975000000000001</v>
      </c>
      <c r="C13">
        <f t="shared" si="1"/>
        <v>152.86764705882354</v>
      </c>
      <c r="D13" s="12">
        <f t="shared" si="0"/>
        <v>45579</v>
      </c>
      <c r="F13" s="17">
        <v>45537</v>
      </c>
      <c r="G13">
        <v>657.23529411764707</v>
      </c>
      <c r="I13" s="18">
        <v>3</v>
      </c>
      <c r="J13">
        <f ca="1">$J$6*52+J12</f>
        <v>133235.2452012384</v>
      </c>
    </row>
    <row r="14" spans="1:14" x14ac:dyDescent="0.25">
      <c r="A14" s="15">
        <v>45579</v>
      </c>
      <c r="B14" s="10">
        <v>56.969000000000001</v>
      </c>
      <c r="C14">
        <f t="shared" si="1"/>
        <v>167.55588235294118</v>
      </c>
      <c r="D14" s="12">
        <f t="shared" si="0"/>
        <v>45579</v>
      </c>
      <c r="F14" s="17">
        <v>45544</v>
      </c>
      <c r="G14">
        <v>595.7941176470589</v>
      </c>
    </row>
    <row r="15" spans="1:14" x14ac:dyDescent="0.25">
      <c r="A15" s="15">
        <v>45576</v>
      </c>
      <c r="B15" s="10">
        <v>53.526000000000003</v>
      </c>
      <c r="C15">
        <f t="shared" si="1"/>
        <v>157.42941176470589</v>
      </c>
      <c r="D15" s="12">
        <f t="shared" si="0"/>
        <v>45572</v>
      </c>
      <c r="F15" s="17">
        <v>45565</v>
      </c>
      <c r="G15">
        <v>327.23235294117649</v>
      </c>
    </row>
    <row r="16" spans="1:14" x14ac:dyDescent="0.25">
      <c r="A16" s="15">
        <v>45571</v>
      </c>
      <c r="B16" s="10">
        <v>57.463000000000001</v>
      </c>
      <c r="C16">
        <f t="shared" si="1"/>
        <v>169.00882352941179</v>
      </c>
      <c r="D16" s="12">
        <f t="shared" si="0"/>
        <v>45565</v>
      </c>
      <c r="F16" s="17">
        <v>45572</v>
      </c>
      <c r="G16">
        <v>157.42941176470589</v>
      </c>
      <c r="I16" t="s">
        <v>42</v>
      </c>
      <c r="J16">
        <v>2024</v>
      </c>
    </row>
    <row r="17" spans="1:10" x14ac:dyDescent="0.25">
      <c r="A17" s="15">
        <v>45570</v>
      </c>
      <c r="B17" s="10">
        <v>53.795999999999999</v>
      </c>
      <c r="C17">
        <f t="shared" si="1"/>
        <v>158.2235294117647</v>
      </c>
      <c r="D17" s="12">
        <f t="shared" si="0"/>
        <v>45565</v>
      </c>
      <c r="F17" s="17">
        <v>45579</v>
      </c>
      <c r="G17">
        <v>820.75882352941176</v>
      </c>
      <c r="I17" t="s">
        <v>46</v>
      </c>
      <c r="J17">
        <f ca="1">(_xlfn.XLOOKUP(J16,M7:M12,N7:N12,"",0,))*J10</f>
        <v>37947.889795665644</v>
      </c>
    </row>
    <row r="18" spans="1:10" x14ac:dyDescent="0.25">
      <c r="A18" s="15">
        <v>45623</v>
      </c>
      <c r="B18" s="10">
        <v>54.682000000000002</v>
      </c>
      <c r="C18">
        <f t="shared" si="1"/>
        <v>160.8294117647059</v>
      </c>
      <c r="D18" s="12">
        <f t="shared" si="0"/>
        <v>45621</v>
      </c>
      <c r="F18" s="17">
        <v>45586</v>
      </c>
      <c r="G18">
        <v>733.24411764705883</v>
      </c>
    </row>
    <row r="19" spans="1:10" x14ac:dyDescent="0.25">
      <c r="A19" s="15">
        <v>45622</v>
      </c>
      <c r="B19" s="10">
        <v>11.675000000000001</v>
      </c>
      <c r="C19">
        <f t="shared" si="1"/>
        <v>34.338235294117652</v>
      </c>
      <c r="D19" s="12">
        <f t="shared" si="0"/>
        <v>45621</v>
      </c>
      <c r="F19" s="17">
        <v>45593</v>
      </c>
      <c r="G19">
        <v>781.38235294117658</v>
      </c>
    </row>
    <row r="20" spans="1:10" x14ac:dyDescent="0.25">
      <c r="A20" s="15">
        <v>45617</v>
      </c>
      <c r="B20" s="10">
        <v>39.853999999999999</v>
      </c>
      <c r="C20">
        <f t="shared" si="1"/>
        <v>117.21764705882353</v>
      </c>
      <c r="D20" s="12">
        <f t="shared" si="0"/>
        <v>45614</v>
      </c>
      <c r="F20" s="17">
        <v>45600</v>
      </c>
      <c r="G20">
        <v>493.54117647058831</v>
      </c>
    </row>
    <row r="21" spans="1:10" x14ac:dyDescent="0.25">
      <c r="A21" s="15">
        <v>45615</v>
      </c>
      <c r="B21" s="10">
        <v>55.652999999999999</v>
      </c>
      <c r="C21">
        <f t="shared" si="1"/>
        <v>163.68529411764706</v>
      </c>
      <c r="D21" s="12">
        <f t="shared" si="0"/>
        <v>45614</v>
      </c>
      <c r="F21" s="17">
        <v>45607</v>
      </c>
      <c r="G21">
        <v>974.66470588235302</v>
      </c>
    </row>
    <row r="22" spans="1:10" x14ac:dyDescent="0.25">
      <c r="A22" s="15">
        <v>45614</v>
      </c>
      <c r="B22" s="10">
        <v>51.656999999999996</v>
      </c>
      <c r="C22">
        <f t="shared" si="1"/>
        <v>151.93235294117648</v>
      </c>
      <c r="D22" s="12">
        <f t="shared" si="0"/>
        <v>45614</v>
      </c>
      <c r="F22" s="17">
        <v>45614</v>
      </c>
      <c r="G22">
        <v>799.5411764705882</v>
      </c>
    </row>
    <row r="23" spans="1:10" x14ac:dyDescent="0.25">
      <c r="A23" s="15">
        <v>45613</v>
      </c>
      <c r="B23" s="10">
        <v>54.920999999999999</v>
      </c>
      <c r="C23">
        <f t="shared" si="1"/>
        <v>161.53235294117647</v>
      </c>
      <c r="D23" s="12">
        <f t="shared" si="0"/>
        <v>45607</v>
      </c>
      <c r="F23" s="17">
        <v>45621</v>
      </c>
      <c r="G23">
        <v>576.33529411764709</v>
      </c>
    </row>
    <row r="24" spans="1:10" x14ac:dyDescent="0.25">
      <c r="A24" s="15">
        <v>45610</v>
      </c>
      <c r="B24" s="10">
        <v>41.712000000000003</v>
      </c>
      <c r="C24">
        <f t="shared" si="1"/>
        <v>122.68235294117649</v>
      </c>
      <c r="D24" s="12">
        <f t="shared" si="0"/>
        <v>45607</v>
      </c>
      <c r="F24" s="17">
        <v>45628</v>
      </c>
      <c r="G24">
        <v>967.22352941176484</v>
      </c>
    </row>
    <row r="25" spans="1:10" x14ac:dyDescent="0.25">
      <c r="A25" s="15">
        <v>45610</v>
      </c>
      <c r="B25" s="10">
        <v>54.56</v>
      </c>
      <c r="C25">
        <f t="shared" si="1"/>
        <v>160.47058823529414</v>
      </c>
      <c r="D25" s="12">
        <f t="shared" si="0"/>
        <v>45607</v>
      </c>
      <c r="F25" s="17">
        <v>45635</v>
      </c>
      <c r="G25">
        <v>787.50588235294128</v>
      </c>
    </row>
    <row r="26" spans="1:10" x14ac:dyDescent="0.25">
      <c r="A26" s="15">
        <v>45608</v>
      </c>
      <c r="B26" s="10">
        <v>42.926000000000002</v>
      </c>
      <c r="C26">
        <f t="shared" si="1"/>
        <v>126.2529411764706</v>
      </c>
      <c r="D26" s="12">
        <f t="shared" si="0"/>
        <v>45607</v>
      </c>
      <c r="F26" s="17">
        <v>45642</v>
      </c>
      <c r="G26">
        <v>250.00000000000003</v>
      </c>
    </row>
    <row r="27" spans="1:10" x14ac:dyDescent="0.25">
      <c r="A27" s="15">
        <v>45607</v>
      </c>
      <c r="B27" s="10">
        <v>63.546999999999997</v>
      </c>
      <c r="C27">
        <f t="shared" si="1"/>
        <v>186.90294117647059</v>
      </c>
      <c r="D27" s="12">
        <f t="shared" si="0"/>
        <v>45607</v>
      </c>
      <c r="F27" s="17" t="s">
        <v>61</v>
      </c>
      <c r="G27">
        <v>11444.88823529412</v>
      </c>
    </row>
    <row r="28" spans="1:10" x14ac:dyDescent="0.25">
      <c r="A28" s="15">
        <v>45604</v>
      </c>
      <c r="B28" s="10">
        <v>59.228000000000002</v>
      </c>
      <c r="C28">
        <f t="shared" si="1"/>
        <v>174.20000000000002</v>
      </c>
      <c r="D28" s="12">
        <f t="shared" si="0"/>
        <v>45600</v>
      </c>
    </row>
    <row r="29" spans="1:10" x14ac:dyDescent="0.25">
      <c r="A29" s="15">
        <v>45600</v>
      </c>
      <c r="B29" s="10">
        <v>47.886000000000003</v>
      </c>
      <c r="C29">
        <f t="shared" si="1"/>
        <v>140.84117647058827</v>
      </c>
      <c r="D29" s="12">
        <f t="shared" si="0"/>
        <v>45600</v>
      </c>
    </row>
    <row r="30" spans="1:10" x14ac:dyDescent="0.25">
      <c r="A30" s="15">
        <v>45599</v>
      </c>
      <c r="B30" s="10">
        <v>64.569999999999993</v>
      </c>
      <c r="C30">
        <f t="shared" si="1"/>
        <v>189.91176470588235</v>
      </c>
      <c r="D30" s="12">
        <f t="shared" si="0"/>
        <v>45593</v>
      </c>
    </row>
    <row r="31" spans="1:10" x14ac:dyDescent="0.25">
      <c r="A31" s="15">
        <v>45637</v>
      </c>
      <c r="B31" s="10">
        <v>68.522000000000006</v>
      </c>
      <c r="C31">
        <f t="shared" si="1"/>
        <v>201.53529411764708</v>
      </c>
      <c r="D31" s="12">
        <f t="shared" si="0"/>
        <v>45635</v>
      </c>
    </row>
    <row r="32" spans="1:10" x14ac:dyDescent="0.25">
      <c r="A32" s="15">
        <v>45636</v>
      </c>
      <c r="B32" s="10">
        <v>61.16</v>
      </c>
      <c r="C32">
        <f t="shared" si="1"/>
        <v>179.88235294117646</v>
      </c>
      <c r="D32" s="12">
        <f t="shared" si="0"/>
        <v>45635</v>
      </c>
    </row>
    <row r="33" spans="1:4" x14ac:dyDescent="0.25">
      <c r="A33" s="15">
        <v>45636</v>
      </c>
      <c r="B33" s="10">
        <v>37.549999999999997</v>
      </c>
      <c r="C33">
        <f t="shared" si="1"/>
        <v>110.44117647058823</v>
      </c>
      <c r="D33" s="12">
        <f t="shared" si="0"/>
        <v>45635</v>
      </c>
    </row>
    <row r="34" spans="1:4" x14ac:dyDescent="0.25">
      <c r="A34" s="15">
        <v>45636</v>
      </c>
      <c r="B34" s="10">
        <v>0</v>
      </c>
      <c r="C34">
        <f t="shared" si="1"/>
        <v>0</v>
      </c>
      <c r="D34" s="12">
        <f t="shared" si="0"/>
        <v>45635</v>
      </c>
    </row>
    <row r="35" spans="1:4" x14ac:dyDescent="0.25">
      <c r="A35" s="15">
        <v>45634</v>
      </c>
      <c r="B35" s="10">
        <v>53.829000000000001</v>
      </c>
      <c r="C35">
        <f t="shared" si="1"/>
        <v>158.32058823529414</v>
      </c>
      <c r="D35" s="12">
        <f t="shared" si="0"/>
        <v>45628</v>
      </c>
    </row>
    <row r="36" spans="1:4" x14ac:dyDescent="0.25">
      <c r="A36" s="15">
        <v>45633</v>
      </c>
      <c r="B36" s="10">
        <v>38.627000000000002</v>
      </c>
      <c r="C36">
        <f t="shared" si="1"/>
        <v>113.60882352941178</v>
      </c>
      <c r="D36" s="12">
        <f t="shared" si="0"/>
        <v>45628</v>
      </c>
    </row>
    <row r="37" spans="1:4" x14ac:dyDescent="0.25">
      <c r="A37" s="15">
        <v>45631</v>
      </c>
      <c r="B37" s="10">
        <v>56.87</v>
      </c>
      <c r="C37">
        <f t="shared" si="1"/>
        <v>167.26470588235296</v>
      </c>
      <c r="D37" s="12">
        <f t="shared" si="0"/>
        <v>45628</v>
      </c>
    </row>
    <row r="38" spans="1:4" x14ac:dyDescent="0.25">
      <c r="A38" s="15">
        <v>45627</v>
      </c>
      <c r="B38" s="10">
        <v>70.117000000000004</v>
      </c>
      <c r="C38">
        <f t="shared" si="1"/>
        <v>206.22647058823532</v>
      </c>
      <c r="D38" s="12">
        <f t="shared" si="0"/>
        <v>45621</v>
      </c>
    </row>
    <row r="39" spans="1:4" x14ac:dyDescent="0.25">
      <c r="A39" s="13">
        <v>45643</v>
      </c>
      <c r="B39" s="10">
        <v>85</v>
      </c>
      <c r="C39">
        <f t="shared" si="1"/>
        <v>250.00000000000003</v>
      </c>
      <c r="D39" s="12">
        <f t="shared" si="0"/>
        <v>45642</v>
      </c>
    </row>
    <row r="40" spans="1:4" x14ac:dyDescent="0.25">
      <c r="A40" s="15">
        <v>45638</v>
      </c>
      <c r="B40" s="10">
        <v>32.520000000000003</v>
      </c>
      <c r="C40">
        <f t="shared" si="1"/>
        <v>95.647058823529434</v>
      </c>
      <c r="D40" s="12">
        <f t="shared" si="0"/>
        <v>45635</v>
      </c>
    </row>
    <row r="41" spans="1:4" x14ac:dyDescent="0.25">
      <c r="A41" s="15">
        <v>45633</v>
      </c>
      <c r="B41" s="10">
        <v>28.25</v>
      </c>
      <c r="C41">
        <f t="shared" si="1"/>
        <v>83.088235294117652</v>
      </c>
      <c r="D41" s="12">
        <f t="shared" si="0"/>
        <v>45628</v>
      </c>
    </row>
    <row r="42" spans="1:4" x14ac:dyDescent="0.25">
      <c r="A42" s="15">
        <v>45631</v>
      </c>
      <c r="B42" s="10">
        <v>31.39</v>
      </c>
      <c r="C42">
        <f t="shared" si="1"/>
        <v>92.32352941176471</v>
      </c>
      <c r="D42" s="12">
        <f t="shared" si="0"/>
        <v>45628</v>
      </c>
    </row>
    <row r="43" spans="1:4" x14ac:dyDescent="0.25">
      <c r="A43" s="15">
        <v>45630</v>
      </c>
      <c r="B43" s="10">
        <v>31.7</v>
      </c>
      <c r="C43">
        <f t="shared" si="1"/>
        <v>93.235294117647058</v>
      </c>
      <c r="D43" s="12">
        <f t="shared" si="0"/>
        <v>45628</v>
      </c>
    </row>
    <row r="44" spans="1:4" x14ac:dyDescent="0.25">
      <c r="A44" s="15">
        <v>45630</v>
      </c>
      <c r="B44" s="10">
        <v>49.46</v>
      </c>
      <c r="C44">
        <f t="shared" si="1"/>
        <v>145.47058823529414</v>
      </c>
      <c r="D44" s="12">
        <f t="shared" si="0"/>
        <v>45628</v>
      </c>
    </row>
    <row r="45" spans="1:4" x14ac:dyDescent="0.25">
      <c r="A45" s="15">
        <v>45629</v>
      </c>
      <c r="B45" s="10">
        <v>38.729999999999997</v>
      </c>
      <c r="C45">
        <f t="shared" si="1"/>
        <v>113.91176470588235</v>
      </c>
      <c r="D45" s="12">
        <f t="shared" si="0"/>
        <v>45628</v>
      </c>
    </row>
    <row r="46" spans="1:4" x14ac:dyDescent="0.25">
      <c r="A46" s="15">
        <v>45625</v>
      </c>
      <c r="B46" s="10">
        <v>59.48</v>
      </c>
      <c r="C46">
        <f t="shared" si="1"/>
        <v>174.94117647058823</v>
      </c>
      <c r="D46" s="12">
        <f t="shared" si="0"/>
        <v>45621</v>
      </c>
    </row>
    <row r="47" spans="1:4" x14ac:dyDescent="0.25">
      <c r="A47" s="15">
        <v>45620</v>
      </c>
      <c r="B47" s="10">
        <v>32.67</v>
      </c>
      <c r="C47">
        <f t="shared" si="1"/>
        <v>96.088235294117652</v>
      </c>
      <c r="D47" s="12">
        <f t="shared" si="0"/>
        <v>45614</v>
      </c>
    </row>
    <row r="48" spans="1:4" x14ac:dyDescent="0.25">
      <c r="A48" s="15">
        <v>45619</v>
      </c>
      <c r="B48" s="10">
        <v>48.2</v>
      </c>
      <c r="C48">
        <f t="shared" si="1"/>
        <v>141.76470588235296</v>
      </c>
      <c r="D48" s="12">
        <f t="shared" si="0"/>
        <v>45614</v>
      </c>
    </row>
    <row r="49" spans="1:4" x14ac:dyDescent="0.25">
      <c r="A49" s="15">
        <v>45618</v>
      </c>
      <c r="B49" s="10">
        <v>43.81</v>
      </c>
      <c r="C49">
        <f t="shared" si="1"/>
        <v>128.85294117647061</v>
      </c>
      <c r="D49" s="12">
        <f t="shared" si="0"/>
        <v>45614</v>
      </c>
    </row>
    <row r="50" spans="1:4" x14ac:dyDescent="0.25">
      <c r="A50" s="15">
        <v>45612</v>
      </c>
      <c r="B50" s="10">
        <v>64.92</v>
      </c>
      <c r="C50">
        <f t="shared" si="1"/>
        <v>190.94117647058826</v>
      </c>
      <c r="D50" s="12">
        <f t="shared" si="0"/>
        <v>45607</v>
      </c>
    </row>
    <row r="51" spans="1:4" x14ac:dyDescent="0.25">
      <c r="A51" s="15">
        <v>45609</v>
      </c>
      <c r="B51" s="10">
        <v>8.8000000000000007</v>
      </c>
      <c r="C51">
        <f t="shared" si="1"/>
        <v>25.882352941176475</v>
      </c>
      <c r="D51" s="12">
        <f t="shared" si="0"/>
        <v>45607</v>
      </c>
    </row>
    <row r="52" spans="1:4" x14ac:dyDescent="0.25">
      <c r="A52" s="15">
        <v>45603</v>
      </c>
      <c r="B52" s="10">
        <v>60.69</v>
      </c>
      <c r="C52">
        <f t="shared" si="1"/>
        <v>178.5</v>
      </c>
      <c r="D52" s="12">
        <f t="shared" si="0"/>
        <v>45600</v>
      </c>
    </row>
    <row r="53" spans="1:4" x14ac:dyDescent="0.25">
      <c r="A53" s="15">
        <v>45597</v>
      </c>
      <c r="B53" s="10">
        <v>58.04</v>
      </c>
      <c r="C53">
        <f t="shared" si="1"/>
        <v>170.70588235294119</v>
      </c>
      <c r="D53" s="12">
        <f t="shared" si="0"/>
        <v>45593</v>
      </c>
    </row>
    <row r="54" spans="1:4" x14ac:dyDescent="0.25">
      <c r="A54" s="15">
        <v>45591</v>
      </c>
      <c r="B54" s="10">
        <v>33.369999999999997</v>
      </c>
      <c r="C54">
        <f t="shared" si="1"/>
        <v>98.147058823529406</v>
      </c>
      <c r="D54" s="12">
        <f t="shared" si="0"/>
        <v>45586</v>
      </c>
    </row>
    <row r="55" spans="1:4" x14ac:dyDescent="0.25">
      <c r="A55" s="15">
        <v>45587</v>
      </c>
      <c r="B55" s="10">
        <v>37.909999999999997</v>
      </c>
      <c r="C55">
        <f t="shared" si="1"/>
        <v>111.5</v>
      </c>
      <c r="D55" s="12">
        <f t="shared" si="0"/>
        <v>45586</v>
      </c>
    </row>
    <row r="56" spans="1:4" x14ac:dyDescent="0.25">
      <c r="A56" s="15">
        <v>45550</v>
      </c>
      <c r="B56" s="10">
        <v>39.53</v>
      </c>
      <c r="C56">
        <f t="shared" si="1"/>
        <v>116.26470588235296</v>
      </c>
      <c r="D56" s="12">
        <f t="shared" si="0"/>
        <v>45544</v>
      </c>
    </row>
    <row r="57" spans="1:4" x14ac:dyDescent="0.25">
      <c r="A57" s="15">
        <v>45549</v>
      </c>
      <c r="B57" s="10">
        <v>31.8</v>
      </c>
      <c r="C57">
        <f t="shared" si="1"/>
        <v>93.529411764705884</v>
      </c>
      <c r="D57" s="12">
        <f t="shared" si="0"/>
        <v>45544</v>
      </c>
    </row>
    <row r="58" spans="1:4" x14ac:dyDescent="0.25">
      <c r="A58" s="15">
        <v>45548</v>
      </c>
      <c r="B58" s="10">
        <v>35.19</v>
      </c>
      <c r="C58">
        <f t="shared" si="1"/>
        <v>103.5</v>
      </c>
      <c r="D58" s="12">
        <f t="shared" si="0"/>
        <v>45544</v>
      </c>
    </row>
    <row r="59" spans="1:4" x14ac:dyDescent="0.25">
      <c r="A59" s="15">
        <v>45546</v>
      </c>
      <c r="B59" s="10">
        <v>31.12</v>
      </c>
      <c r="C59">
        <f t="shared" si="1"/>
        <v>91.529411764705898</v>
      </c>
      <c r="D59" s="12">
        <f t="shared" si="0"/>
        <v>45544</v>
      </c>
    </row>
    <row r="60" spans="1:4" x14ac:dyDescent="0.25">
      <c r="A60" s="15">
        <v>45545</v>
      </c>
      <c r="B60" s="10">
        <v>64.930000000000007</v>
      </c>
      <c r="C60">
        <f t="shared" si="1"/>
        <v>190.97058823529414</v>
      </c>
      <c r="D60" s="12">
        <f t="shared" si="0"/>
        <v>45544</v>
      </c>
    </row>
    <row r="61" spans="1:4" x14ac:dyDescent="0.25">
      <c r="A61" s="15">
        <v>45543</v>
      </c>
      <c r="B61" s="10">
        <v>39.85</v>
      </c>
      <c r="C61">
        <f t="shared" si="1"/>
        <v>117.20588235294119</v>
      </c>
      <c r="D61" s="12">
        <f t="shared" si="0"/>
        <v>45537</v>
      </c>
    </row>
    <row r="62" spans="1:4" x14ac:dyDescent="0.25">
      <c r="A62" s="15">
        <v>45542</v>
      </c>
      <c r="B62" s="10">
        <v>46.47</v>
      </c>
      <c r="C62">
        <f t="shared" si="1"/>
        <v>136.6764705882353</v>
      </c>
      <c r="D62" s="12">
        <f t="shared" si="0"/>
        <v>45537</v>
      </c>
    </row>
    <row r="63" spans="1:4" x14ac:dyDescent="0.25">
      <c r="A63" s="15">
        <v>45541</v>
      </c>
      <c r="B63" s="10">
        <v>41.15</v>
      </c>
      <c r="C63">
        <f t="shared" si="1"/>
        <v>121.02941176470588</v>
      </c>
      <c r="D63" s="12">
        <f t="shared" si="0"/>
        <v>45537</v>
      </c>
    </row>
    <row r="64" spans="1:4" x14ac:dyDescent="0.25">
      <c r="A64" s="15">
        <v>45540</v>
      </c>
      <c r="B64" s="10">
        <v>35.33</v>
      </c>
      <c r="C64">
        <f t="shared" si="1"/>
        <v>103.91176470588236</v>
      </c>
      <c r="D64" s="12">
        <f t="shared" si="0"/>
        <v>45537</v>
      </c>
    </row>
    <row r="65" spans="1:4" x14ac:dyDescent="0.25">
      <c r="A65" s="15">
        <v>45539</v>
      </c>
      <c r="B65" s="10">
        <v>60.66</v>
      </c>
      <c r="C65">
        <f t="shared" si="1"/>
        <v>178.41176470588235</v>
      </c>
      <c r="D65" s="12">
        <f t="shared" si="0"/>
        <v>45537</v>
      </c>
    </row>
    <row r="66" spans="1:4" x14ac:dyDescent="0.25">
      <c r="A66" s="15">
        <v>45521</v>
      </c>
      <c r="B66" s="10">
        <v>33.29</v>
      </c>
      <c r="C66">
        <f t="shared" si="1"/>
        <v>97.911764705882362</v>
      </c>
      <c r="D66" s="12">
        <f t="shared" si="0"/>
        <v>45516</v>
      </c>
    </row>
    <row r="67" spans="1:4" x14ac:dyDescent="0.25">
      <c r="A67" s="15">
        <v>45519</v>
      </c>
      <c r="B67" s="10">
        <v>44.81</v>
      </c>
      <c r="C67">
        <f t="shared" si="1"/>
        <v>131.79411764705884</v>
      </c>
      <c r="D67" s="12">
        <f t="shared" ref="D67:D90" si="2">A67-WEEKDAY(A67,2)+1</f>
        <v>45516</v>
      </c>
    </row>
    <row r="68" spans="1:4" x14ac:dyDescent="0.25">
      <c r="A68" s="15">
        <v>45518</v>
      </c>
      <c r="B68" s="10">
        <v>39.659999999999997</v>
      </c>
      <c r="C68">
        <f t="shared" ref="C68:C90" si="3">B68*$F$2</f>
        <v>116.64705882352941</v>
      </c>
      <c r="D68" s="12">
        <f t="shared" si="2"/>
        <v>45516</v>
      </c>
    </row>
    <row r="69" spans="1:4" x14ac:dyDescent="0.25">
      <c r="A69" s="15">
        <v>45515</v>
      </c>
      <c r="B69" s="10">
        <v>40.71</v>
      </c>
      <c r="C69">
        <f t="shared" si="3"/>
        <v>119.73529411764707</v>
      </c>
      <c r="D69" s="12">
        <f t="shared" si="2"/>
        <v>45509</v>
      </c>
    </row>
    <row r="70" spans="1:4" x14ac:dyDescent="0.25">
      <c r="A70" s="15">
        <v>45514</v>
      </c>
      <c r="B70" s="10">
        <v>9.35</v>
      </c>
      <c r="C70">
        <f t="shared" si="3"/>
        <v>27.5</v>
      </c>
      <c r="D70" s="12">
        <f t="shared" si="2"/>
        <v>45509</v>
      </c>
    </row>
    <row r="71" spans="1:4" x14ac:dyDescent="0.25">
      <c r="A71" s="15">
        <v>45509</v>
      </c>
      <c r="B71" s="10">
        <v>36.299999999999997</v>
      </c>
      <c r="C71">
        <f t="shared" si="3"/>
        <v>106.76470588235294</v>
      </c>
      <c r="D71" s="12">
        <f t="shared" si="2"/>
        <v>45509</v>
      </c>
    </row>
    <row r="72" spans="1:4" x14ac:dyDescent="0.25">
      <c r="A72" s="15">
        <v>45509</v>
      </c>
      <c r="B72" s="10">
        <v>42.86</v>
      </c>
      <c r="C72">
        <f t="shared" si="3"/>
        <v>126.05882352941177</v>
      </c>
      <c r="D72" s="12">
        <f t="shared" si="2"/>
        <v>45509</v>
      </c>
    </row>
    <row r="73" spans="1:4" x14ac:dyDescent="0.25">
      <c r="A73" s="15">
        <v>45508</v>
      </c>
      <c r="B73" s="10">
        <v>39.6</v>
      </c>
      <c r="C73">
        <f t="shared" si="3"/>
        <v>116.47058823529413</v>
      </c>
      <c r="D73" s="12">
        <f t="shared" si="2"/>
        <v>45502</v>
      </c>
    </row>
    <row r="74" spans="1:4" x14ac:dyDescent="0.25">
      <c r="A74" s="15">
        <v>45507</v>
      </c>
      <c r="B74" s="10">
        <v>55.85</v>
      </c>
      <c r="C74">
        <f t="shared" si="3"/>
        <v>164.26470588235296</v>
      </c>
      <c r="D74" s="12">
        <f t="shared" si="2"/>
        <v>45502</v>
      </c>
    </row>
    <row r="75" spans="1:4" x14ac:dyDescent="0.25">
      <c r="A75" s="15">
        <v>45506</v>
      </c>
      <c r="B75" s="10">
        <v>24.38</v>
      </c>
      <c r="C75">
        <f t="shared" si="3"/>
        <v>71.705882352941174</v>
      </c>
      <c r="D75" s="12">
        <f t="shared" si="2"/>
        <v>45502</v>
      </c>
    </row>
    <row r="76" spans="1:4" x14ac:dyDescent="0.25">
      <c r="A76" s="15">
        <v>45505</v>
      </c>
      <c r="B76" s="10">
        <v>53.49</v>
      </c>
      <c r="C76">
        <f t="shared" si="3"/>
        <v>157.32352941176472</v>
      </c>
      <c r="D76" s="12">
        <f t="shared" si="2"/>
        <v>45502</v>
      </c>
    </row>
    <row r="77" spans="1:4" x14ac:dyDescent="0.25">
      <c r="A77" s="15">
        <v>45505</v>
      </c>
      <c r="B77" s="10">
        <v>10.72</v>
      </c>
      <c r="C77">
        <f t="shared" si="3"/>
        <v>31.529411764705888</v>
      </c>
      <c r="D77" s="12">
        <f t="shared" si="2"/>
        <v>45502</v>
      </c>
    </row>
    <row r="78" spans="1:4" x14ac:dyDescent="0.25">
      <c r="A78" s="15">
        <v>45503</v>
      </c>
      <c r="B78" s="10">
        <v>34.619999999999997</v>
      </c>
      <c r="C78">
        <f t="shared" si="3"/>
        <v>101.82352941176471</v>
      </c>
      <c r="D78" s="12">
        <f t="shared" si="2"/>
        <v>45502</v>
      </c>
    </row>
    <row r="79" spans="1:4" x14ac:dyDescent="0.25">
      <c r="A79" s="15">
        <v>45500</v>
      </c>
      <c r="B79" s="10">
        <v>43.77</v>
      </c>
      <c r="C79">
        <f t="shared" si="3"/>
        <v>128.73529411764707</v>
      </c>
      <c r="D79" s="12">
        <f t="shared" si="2"/>
        <v>45495</v>
      </c>
    </row>
    <row r="80" spans="1:4" x14ac:dyDescent="0.25">
      <c r="A80" s="15">
        <v>45499</v>
      </c>
      <c r="B80" s="10">
        <v>43.71</v>
      </c>
      <c r="C80">
        <f t="shared" si="3"/>
        <v>128.55882352941177</v>
      </c>
      <c r="D80" s="12">
        <f t="shared" si="2"/>
        <v>45495</v>
      </c>
    </row>
    <row r="81" spans="1:4" x14ac:dyDescent="0.25">
      <c r="A81" s="15">
        <v>45498</v>
      </c>
      <c r="B81" s="10">
        <v>39.04</v>
      </c>
      <c r="C81">
        <f t="shared" si="3"/>
        <v>114.82352941176471</v>
      </c>
      <c r="D81" s="12">
        <f t="shared" si="2"/>
        <v>45495</v>
      </c>
    </row>
    <row r="82" spans="1:4" x14ac:dyDescent="0.25">
      <c r="A82" s="15">
        <v>45494</v>
      </c>
      <c r="B82" s="10">
        <v>56.24</v>
      </c>
      <c r="C82">
        <f t="shared" si="3"/>
        <v>165.41176470588238</v>
      </c>
      <c r="D82" s="12">
        <f t="shared" si="2"/>
        <v>45488</v>
      </c>
    </row>
    <row r="83" spans="1:4" x14ac:dyDescent="0.25">
      <c r="A83" s="15">
        <v>45493</v>
      </c>
      <c r="B83" s="10">
        <v>8.76</v>
      </c>
      <c r="C83">
        <f t="shared" si="3"/>
        <v>25.764705882352942</v>
      </c>
      <c r="D83" s="12">
        <f t="shared" si="2"/>
        <v>45488</v>
      </c>
    </row>
    <row r="84" spans="1:4" x14ac:dyDescent="0.25">
      <c r="A84" s="15">
        <v>45492</v>
      </c>
      <c r="B84" s="10">
        <v>22.71</v>
      </c>
      <c r="C84">
        <f t="shared" si="3"/>
        <v>66.794117647058826</v>
      </c>
      <c r="D84" s="12">
        <f t="shared" si="2"/>
        <v>45488</v>
      </c>
    </row>
    <row r="85" spans="1:4" x14ac:dyDescent="0.25">
      <c r="A85" s="15">
        <v>45492</v>
      </c>
      <c r="B85" s="10">
        <v>10.76</v>
      </c>
      <c r="C85">
        <f t="shared" si="3"/>
        <v>31.647058823529413</v>
      </c>
      <c r="D85" s="12">
        <f t="shared" si="2"/>
        <v>45488</v>
      </c>
    </row>
    <row r="86" spans="1:4" x14ac:dyDescent="0.25">
      <c r="A86" s="15">
        <v>45486</v>
      </c>
      <c r="B86" s="10">
        <v>33.5</v>
      </c>
      <c r="C86">
        <f t="shared" si="3"/>
        <v>98.529411764705884</v>
      </c>
      <c r="D86" s="12">
        <f t="shared" si="2"/>
        <v>45481</v>
      </c>
    </row>
    <row r="87" spans="1:4" x14ac:dyDescent="0.25">
      <c r="A87" s="15">
        <v>45485</v>
      </c>
      <c r="B87" s="10">
        <v>33.92</v>
      </c>
      <c r="C87">
        <f t="shared" si="3"/>
        <v>99.764705882352956</v>
      </c>
      <c r="D87" s="12">
        <f t="shared" si="2"/>
        <v>45481</v>
      </c>
    </row>
    <row r="88" spans="1:4" x14ac:dyDescent="0.25">
      <c r="A88" s="15">
        <v>45485</v>
      </c>
      <c r="B88" s="10">
        <v>41</v>
      </c>
      <c r="C88">
        <f t="shared" si="3"/>
        <v>120.58823529411765</v>
      </c>
      <c r="D88" s="12">
        <f t="shared" si="2"/>
        <v>45481</v>
      </c>
    </row>
    <row r="89" spans="1:4" x14ac:dyDescent="0.25">
      <c r="A89" s="15">
        <v>45484</v>
      </c>
      <c r="B89" s="10">
        <v>18.64</v>
      </c>
      <c r="C89">
        <f t="shared" si="3"/>
        <v>54.82352941176471</v>
      </c>
      <c r="D89" s="12">
        <f t="shared" si="2"/>
        <v>45481</v>
      </c>
    </row>
    <row r="90" spans="1:4" x14ac:dyDescent="0.25">
      <c r="A90" s="15">
        <v>45483</v>
      </c>
      <c r="B90" s="10">
        <v>40.130000000000003</v>
      </c>
      <c r="C90">
        <f t="shared" si="3"/>
        <v>118.0294117647059</v>
      </c>
      <c r="D90" s="12">
        <f t="shared" si="2"/>
        <v>45481</v>
      </c>
    </row>
  </sheetData>
  <dataValidations count="1">
    <dataValidation type="list" allowBlank="1" showInputMessage="1" showErrorMessage="1" sqref="J16" xr:uid="{2D3B539A-77C2-4743-ACB9-0835CC6E15BE}">
      <formula1>$M$7:$M$12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1EBC-CAC9-4C02-810E-C218BBEE57F2}">
  <dimension ref="A1:D4"/>
  <sheetViews>
    <sheetView workbookViewId="0"/>
  </sheetViews>
  <sheetFormatPr defaultRowHeight="15" x14ac:dyDescent="0.25"/>
  <cols>
    <col min="1" max="1" width="13.140625" customWidth="1"/>
    <col min="3" max="3" width="10.7109375" customWidth="1"/>
  </cols>
  <sheetData>
    <row r="1" spans="1:4" x14ac:dyDescent="0.25">
      <c r="A1" s="2" t="s">
        <v>65</v>
      </c>
      <c r="B1" s="2" t="s">
        <v>70</v>
      </c>
      <c r="C1" s="24" t="s">
        <v>66</v>
      </c>
      <c r="D1" s="24" t="s">
        <v>67</v>
      </c>
    </row>
    <row r="2" spans="1:4" x14ac:dyDescent="0.25">
      <c r="A2" t="s">
        <v>64</v>
      </c>
      <c r="B2">
        <v>300</v>
      </c>
      <c r="C2">
        <v>125</v>
      </c>
      <c r="D2">
        <f>B2+C2</f>
        <v>425</v>
      </c>
    </row>
    <row r="3" spans="1:4" x14ac:dyDescent="0.25">
      <c r="A3" t="s">
        <v>12</v>
      </c>
      <c r="B3">
        <f>B2*4</f>
        <v>1200</v>
      </c>
      <c r="C3">
        <f>C2*4</f>
        <v>500</v>
      </c>
      <c r="D3">
        <f>B3+C3</f>
        <v>1700</v>
      </c>
    </row>
    <row r="4" spans="1:4" x14ac:dyDescent="0.25">
      <c r="A4" t="s">
        <v>69</v>
      </c>
      <c r="B4">
        <f>B3*12</f>
        <v>14400</v>
      </c>
      <c r="C4">
        <f t="shared" ref="C4:D4" si="0">C3*12</f>
        <v>6000</v>
      </c>
      <c r="D4">
        <f t="shared" si="0"/>
        <v>20400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0812-B85B-47BB-B343-048E7926EA37}">
  <dimension ref="A1:P65"/>
  <sheetViews>
    <sheetView zoomScale="85" zoomScaleNormal="85" workbookViewId="0">
      <selection activeCell="J19" sqref="J19"/>
    </sheetView>
  </sheetViews>
  <sheetFormatPr defaultRowHeight="15" x14ac:dyDescent="0.25"/>
  <cols>
    <col min="2" max="2" width="18.5703125" bestFit="1" customWidth="1"/>
    <col min="3" max="3" width="26.28515625" bestFit="1" customWidth="1"/>
    <col min="4" max="4" width="20.5703125" customWidth="1"/>
    <col min="5" max="5" width="15.85546875" customWidth="1"/>
    <col min="6" max="6" width="20.140625" customWidth="1"/>
    <col min="8" max="8" width="12.28515625" customWidth="1"/>
    <col min="9" max="9" width="12.7109375" customWidth="1"/>
    <col min="10" max="10" width="18.7109375" customWidth="1"/>
    <col min="11" max="11" width="12.85546875" customWidth="1"/>
  </cols>
  <sheetData>
    <row r="1" spans="1:16" ht="30" customHeight="1" x14ac:dyDescent="0.3">
      <c r="A1" s="75" t="s">
        <v>84</v>
      </c>
      <c r="B1" s="76"/>
      <c r="C1" s="76"/>
      <c r="D1" s="76"/>
      <c r="E1" s="62"/>
      <c r="F1" s="63"/>
      <c r="H1" s="77" t="s">
        <v>83</v>
      </c>
      <c r="I1" s="77"/>
      <c r="J1" s="77"/>
      <c r="K1" s="78"/>
      <c r="M1" s="74"/>
      <c r="N1" s="74"/>
      <c r="O1" s="74"/>
      <c r="P1" s="74"/>
    </row>
    <row r="2" spans="1:16" ht="45" x14ac:dyDescent="0.25">
      <c r="A2" s="64" t="s">
        <v>85</v>
      </c>
      <c r="B2" s="64" t="s">
        <v>86</v>
      </c>
      <c r="C2" s="65" t="s">
        <v>89</v>
      </c>
      <c r="D2" s="65" t="s">
        <v>88</v>
      </c>
      <c r="E2" s="64" t="s">
        <v>90</v>
      </c>
      <c r="F2" s="65" t="s">
        <v>91</v>
      </c>
      <c r="H2" s="67" t="s">
        <v>80</v>
      </c>
      <c r="I2" s="67" t="s">
        <v>81</v>
      </c>
      <c r="J2" s="67" t="s">
        <v>82</v>
      </c>
      <c r="K2" s="29" t="s">
        <v>56</v>
      </c>
    </row>
    <row r="3" spans="1:16" x14ac:dyDescent="0.25">
      <c r="A3" s="38">
        <v>0</v>
      </c>
      <c r="B3" s="38">
        <f>IF(A3&lt;=12, $J$4, IF(A3&lt;=24, $J$5, IF(A3&lt;=36, $J$6, IF(A3&lt;=48, $J$7, IF(A3&lt;=60, $J$8, "")))))</f>
        <v>0.2</v>
      </c>
      <c r="C3" s="39">
        <v>0</v>
      </c>
      <c r="D3" s="60">
        <f>Outputs!B6</f>
        <v>32000</v>
      </c>
      <c r="E3" s="38">
        <v>0</v>
      </c>
      <c r="F3" s="38">
        <v>0</v>
      </c>
      <c r="H3" s="66">
        <v>0</v>
      </c>
      <c r="I3" s="66">
        <v>0</v>
      </c>
      <c r="J3" s="66">
        <v>0</v>
      </c>
      <c r="K3" s="31">
        <f>Outputs!B6</f>
        <v>32000</v>
      </c>
    </row>
    <row r="4" spans="1:16" x14ac:dyDescent="0.25">
      <c r="A4" s="38">
        <v>1</v>
      </c>
      <c r="B4" s="38">
        <f t="shared" ref="B4:B63" si="0">IF(A4&lt;=12, $J$4, IF(A4&lt;=24, $J$5, IF(A4&lt;=36, $J$6, IF(A4&lt;=48, $J$7, IF(A4&lt;=60, $J$8, "")))))</f>
        <v>0.2</v>
      </c>
      <c r="C4" s="39">
        <f>IF(AND(A4 &gt;= $H$3, A4 &lt; $H$4), ($K$3 - $K$4)/12,
 IF(AND(A4 &gt;= $H$4, A4 &lt; $H$5), ($K$4 - $K$5)/12,
 IF(AND(A4 &gt;= $H$5, A4 &lt; $H$6), ($K$5 - $K$6)/12,
 IF(AND(A4 &gt;= $H$6, A4 &lt; $H$7), ($K$6 - $K$7)/12,
 IF(AND(A4 &gt;= $H$7, A4 &lt;= $H$8), ($K$7 - $K$8)/12, 0)))))</f>
        <v>533.33333333333337</v>
      </c>
      <c r="D4" s="42">
        <f>D3-C4</f>
        <v>31466.666666666668</v>
      </c>
      <c r="E4" s="39">
        <f ca="1">'Charging&gt;Miles'!J8</f>
        <v>2356.8185758513937</v>
      </c>
      <c r="F4" s="59">
        <f ca="1">D4 - IF('Charging&gt;Miles'!$J$10 &gt; 15000, ('Charging&gt;Miles'!$J$10 - 15000) * 0.1 / 12 * A4, 0)</f>
        <v>31119.677987616102</v>
      </c>
      <c r="H4" s="30">
        <v>12</v>
      </c>
      <c r="I4" s="30">
        <v>1</v>
      </c>
      <c r="J4" s="30">
        <v>0.2</v>
      </c>
      <c r="K4" s="31">
        <f>Outputs!$B$6*(1-J4)</f>
        <v>25600</v>
      </c>
    </row>
    <row r="5" spans="1:16" x14ac:dyDescent="0.25">
      <c r="A5" s="38">
        <v>2</v>
      </c>
      <c r="B5" s="38">
        <f t="shared" si="0"/>
        <v>0.2</v>
      </c>
      <c r="C5" s="39">
        <f t="shared" ref="C5:C63" si="1">IF(AND(A5 &gt;= $H$3, A5 &lt; $H$4), ($K$3 - $K$4)/12,
 IF(AND(A5 &gt;= $H$4, A5 &lt; $H$5), ($K$4 - $K$5)/12,
 IF(AND(A5 &gt;= $H$5, A5 &lt; $H$6), ($K$5 - $K$6)/12,
 IF(AND(A5 &gt;= $H$6, A5 &lt; $H$7), ($K$6 - $K$7)/12,
 IF(AND(A5 &gt;= $H$7, A5 &lt;= $H$8), ($K$7 - $K$8)/12, 0)))))</f>
        <v>533.33333333333337</v>
      </c>
      <c r="D5" s="42">
        <f t="shared" ref="D5:D63" si="2">D4-C5</f>
        <v>30933.333333333336</v>
      </c>
      <c r="E5" s="39">
        <f ca="1">$E$4+E4</f>
        <v>4713.6371517027874</v>
      </c>
      <c r="F5" s="59">
        <f ca="1">D5 - IF('Charging&gt;Miles'!$J$10 &gt; 15000, ('Charging&gt;Miles'!$J$10 - 15000) * 0.1 / 12 * A5, 0)</f>
        <v>30239.3559752322</v>
      </c>
      <c r="H5" s="30">
        <v>24</v>
      </c>
      <c r="I5" s="30">
        <v>2</v>
      </c>
      <c r="J5" s="30">
        <v>0.35</v>
      </c>
      <c r="K5" s="31">
        <f>Outputs!$B$6*(1-J5)</f>
        <v>20800</v>
      </c>
    </row>
    <row r="6" spans="1:16" x14ac:dyDescent="0.25">
      <c r="A6" s="38">
        <v>3</v>
      </c>
      <c r="B6" s="38">
        <f t="shared" si="0"/>
        <v>0.2</v>
      </c>
      <c r="C6" s="39">
        <f t="shared" si="1"/>
        <v>533.33333333333337</v>
      </c>
      <c r="D6" s="42">
        <f t="shared" si="2"/>
        <v>30400.000000000004</v>
      </c>
      <c r="E6" s="39">
        <f t="shared" ref="E6:E63" ca="1" si="3">$E$4+E5</f>
        <v>7070.4557275541811</v>
      </c>
      <c r="F6" s="59">
        <f ca="1">D6 - IF('Charging&gt;Miles'!$J$10 &gt; 15000, ('Charging&gt;Miles'!$J$10 - 15000) * 0.1 / 12 * A6, 0)</f>
        <v>29359.033962848302</v>
      </c>
      <c r="H6" s="30">
        <v>36</v>
      </c>
      <c r="I6" s="30">
        <v>3</v>
      </c>
      <c r="J6" s="30">
        <v>0.45</v>
      </c>
      <c r="K6" s="31">
        <f>Outputs!$B$6*(1-J6)</f>
        <v>17600</v>
      </c>
    </row>
    <row r="7" spans="1:16" x14ac:dyDescent="0.25">
      <c r="A7" s="38">
        <v>4</v>
      </c>
      <c r="B7" s="38">
        <f t="shared" si="0"/>
        <v>0.2</v>
      </c>
      <c r="C7" s="39">
        <f t="shared" si="1"/>
        <v>533.33333333333337</v>
      </c>
      <c r="D7" s="42">
        <f t="shared" si="2"/>
        <v>29866.666666666672</v>
      </c>
      <c r="E7" s="39">
        <f t="shared" ca="1" si="3"/>
        <v>9427.2743034055748</v>
      </c>
      <c r="F7" s="59">
        <f ca="1">D7 - IF('Charging&gt;Miles'!$J$10 &gt; 15000, ('Charging&gt;Miles'!$J$10 - 15000) * 0.1 / 12 * A7, 0)</f>
        <v>28478.7119504644</v>
      </c>
      <c r="H7" s="30">
        <v>48</v>
      </c>
      <c r="I7" s="30">
        <v>4</v>
      </c>
      <c r="J7" s="30">
        <v>0.53</v>
      </c>
      <c r="K7" s="31">
        <f>Outputs!$B$6*(1-J7)</f>
        <v>15040</v>
      </c>
    </row>
    <row r="8" spans="1:16" x14ac:dyDescent="0.25">
      <c r="A8" s="38">
        <v>5</v>
      </c>
      <c r="B8" s="38">
        <f t="shared" si="0"/>
        <v>0.2</v>
      </c>
      <c r="C8" s="39">
        <f t="shared" si="1"/>
        <v>533.33333333333337</v>
      </c>
      <c r="D8" s="42">
        <f t="shared" si="2"/>
        <v>29333.333333333339</v>
      </c>
      <c r="E8" s="39">
        <f t="shared" ca="1" si="3"/>
        <v>11784.092879256968</v>
      </c>
      <c r="F8" s="59">
        <f ca="1">D8 - IF('Charging&gt;Miles'!$J$10 &gt; 15000, ('Charging&gt;Miles'!$J$10 - 15000) * 0.1 / 12 * A8, 0)</f>
        <v>27598.389938080501</v>
      </c>
      <c r="H8" s="30">
        <v>60</v>
      </c>
      <c r="I8" s="30">
        <v>5</v>
      </c>
      <c r="J8" s="30">
        <v>0.57999999999999996</v>
      </c>
      <c r="K8" s="31">
        <f>Outputs!$B$6*(1-J8)</f>
        <v>13440.000000000002</v>
      </c>
    </row>
    <row r="9" spans="1:16" x14ac:dyDescent="0.25">
      <c r="A9" s="38">
        <v>6</v>
      </c>
      <c r="B9" s="38">
        <f t="shared" si="0"/>
        <v>0.2</v>
      </c>
      <c r="C9" s="39">
        <f t="shared" si="1"/>
        <v>533.33333333333337</v>
      </c>
      <c r="D9" s="42">
        <f t="shared" si="2"/>
        <v>28800.000000000007</v>
      </c>
      <c r="E9" s="39">
        <f t="shared" ca="1" si="3"/>
        <v>14140.911455108362</v>
      </c>
      <c r="F9" s="59">
        <f ca="1">D9 - IF('Charging&gt;Miles'!$J$10 &gt; 15000, ('Charging&gt;Miles'!$J$10 - 15000) * 0.1 / 12 * A9, 0)</f>
        <v>26718.067925696603</v>
      </c>
    </row>
    <row r="10" spans="1:16" x14ac:dyDescent="0.25">
      <c r="A10" s="38">
        <v>7</v>
      </c>
      <c r="B10" s="38">
        <f t="shared" si="0"/>
        <v>0.2</v>
      </c>
      <c r="C10" s="39">
        <f t="shared" si="1"/>
        <v>533.33333333333337</v>
      </c>
      <c r="D10" s="42">
        <f t="shared" si="2"/>
        <v>28266.666666666675</v>
      </c>
      <c r="E10" s="39">
        <f t="shared" ca="1" si="3"/>
        <v>16497.730030959756</v>
      </c>
      <c r="F10" s="59">
        <f ca="1">D10 - IF('Charging&gt;Miles'!$J$10 &gt; 15000, ('Charging&gt;Miles'!$J$10 - 15000) * 0.1 / 12 * A10, 0)</f>
        <v>25837.745913312701</v>
      </c>
    </row>
    <row r="11" spans="1:16" x14ac:dyDescent="0.25">
      <c r="A11" s="38">
        <v>8</v>
      </c>
      <c r="B11" s="38">
        <f t="shared" si="0"/>
        <v>0.2</v>
      </c>
      <c r="C11" s="39">
        <f t="shared" si="1"/>
        <v>533.33333333333337</v>
      </c>
      <c r="D11" s="42">
        <f t="shared" si="2"/>
        <v>27733.333333333343</v>
      </c>
      <c r="E11" s="39">
        <f t="shared" ca="1" si="3"/>
        <v>18854.54860681115</v>
      </c>
      <c r="F11" s="59">
        <f ca="1">D11 - IF('Charging&gt;Miles'!$J$10 &gt; 15000, ('Charging&gt;Miles'!$J$10 - 15000) * 0.1 / 12 * A11, 0)</f>
        <v>24957.423900928803</v>
      </c>
    </row>
    <row r="12" spans="1:16" x14ac:dyDescent="0.25">
      <c r="A12" s="38">
        <v>9</v>
      </c>
      <c r="B12" s="38">
        <f t="shared" si="0"/>
        <v>0.2</v>
      </c>
      <c r="C12" s="39">
        <f t="shared" si="1"/>
        <v>533.33333333333337</v>
      </c>
      <c r="D12" s="42">
        <f t="shared" si="2"/>
        <v>27200.000000000011</v>
      </c>
      <c r="E12" s="39">
        <f t="shared" ca="1" si="3"/>
        <v>21211.367182662543</v>
      </c>
      <c r="F12" s="59">
        <f ca="1">D12 - IF('Charging&gt;Miles'!$J$10 &gt; 15000, ('Charging&gt;Miles'!$J$10 - 15000) * 0.1 / 12 * A12, 0)</f>
        <v>24077.101888544901</v>
      </c>
    </row>
    <row r="13" spans="1:16" x14ac:dyDescent="0.25">
      <c r="A13" s="38">
        <v>10</v>
      </c>
      <c r="B13" s="38">
        <f t="shared" si="0"/>
        <v>0.2</v>
      </c>
      <c r="C13" s="39">
        <f t="shared" si="1"/>
        <v>533.33333333333337</v>
      </c>
      <c r="D13" s="42">
        <f t="shared" si="2"/>
        <v>26666.666666666679</v>
      </c>
      <c r="E13" s="39">
        <f t="shared" ca="1" si="3"/>
        <v>23568.185758513937</v>
      </c>
      <c r="F13" s="59">
        <f ca="1">D13 - IF('Charging&gt;Miles'!$J$10 &gt; 15000, ('Charging&gt;Miles'!$J$10 - 15000) * 0.1 / 12 * A13, 0)</f>
        <v>23196.779876161003</v>
      </c>
    </row>
    <row r="14" spans="1:16" x14ac:dyDescent="0.25">
      <c r="A14" s="38">
        <v>11</v>
      </c>
      <c r="B14" s="38">
        <f t="shared" si="0"/>
        <v>0.2</v>
      </c>
      <c r="C14" s="39">
        <f t="shared" si="1"/>
        <v>533.33333333333337</v>
      </c>
      <c r="D14" s="42">
        <f t="shared" si="2"/>
        <v>26133.333333333347</v>
      </c>
      <c r="E14" s="39">
        <f t="shared" ca="1" si="3"/>
        <v>25925.004334365331</v>
      </c>
      <c r="F14" s="59">
        <f ca="1">D14 - IF('Charging&gt;Miles'!$J$10 &gt; 15000, ('Charging&gt;Miles'!$J$10 - 15000) * 0.1 / 12 * A14, 0)</f>
        <v>22316.457863777101</v>
      </c>
    </row>
    <row r="15" spans="1:16" x14ac:dyDescent="0.25">
      <c r="A15" s="38">
        <v>12</v>
      </c>
      <c r="B15" s="38">
        <f t="shared" si="0"/>
        <v>0.2</v>
      </c>
      <c r="C15" s="39">
        <f t="shared" si="1"/>
        <v>400</v>
      </c>
      <c r="D15" s="42">
        <f t="shared" si="2"/>
        <v>25733.333333333347</v>
      </c>
      <c r="E15" s="39">
        <f t="shared" ca="1" si="3"/>
        <v>28281.822910216724</v>
      </c>
      <c r="F15" s="59">
        <f ca="1">D15 - IF('Charging&gt;Miles'!$J$10 &gt; 15000, ('Charging&gt;Miles'!$J$10 - 15000) * 0.1 / 12 * A15, 0)</f>
        <v>21569.469184726535</v>
      </c>
    </row>
    <row r="16" spans="1:16" x14ac:dyDescent="0.25">
      <c r="A16" s="38">
        <v>13</v>
      </c>
      <c r="B16" s="38">
        <f t="shared" si="0"/>
        <v>0.35</v>
      </c>
      <c r="C16" s="39">
        <f t="shared" si="1"/>
        <v>400</v>
      </c>
      <c r="D16" s="42">
        <f t="shared" si="2"/>
        <v>25333.333333333347</v>
      </c>
      <c r="E16" s="39">
        <f t="shared" ca="1" si="3"/>
        <v>30638.641486068118</v>
      </c>
      <c r="F16" s="59">
        <f ca="1">D16 - IF('Charging&gt;Miles'!$J$10 &gt; 15000, ('Charging&gt;Miles'!$J$10 - 15000) * 0.1 / 12 * A16, 0)</f>
        <v>20822.480505675965</v>
      </c>
    </row>
    <row r="17" spans="1:6" x14ac:dyDescent="0.25">
      <c r="A17" s="38">
        <v>14</v>
      </c>
      <c r="B17" s="38">
        <f t="shared" si="0"/>
        <v>0.35</v>
      </c>
      <c r="C17" s="39">
        <f t="shared" si="1"/>
        <v>400</v>
      </c>
      <c r="D17" s="42">
        <f t="shared" si="2"/>
        <v>24933.333333333347</v>
      </c>
      <c r="E17" s="39">
        <f t="shared" ca="1" si="3"/>
        <v>32995.460061919512</v>
      </c>
      <c r="F17" s="59">
        <f ca="1">D17 - IF('Charging&gt;Miles'!$J$10 &gt; 15000, ('Charging&gt;Miles'!$J$10 - 15000) * 0.1 / 12 * A17, 0)</f>
        <v>20075.491826625399</v>
      </c>
    </row>
    <row r="18" spans="1:6" x14ac:dyDescent="0.25">
      <c r="A18" s="38">
        <v>15</v>
      </c>
      <c r="B18" s="38">
        <f t="shared" si="0"/>
        <v>0.35</v>
      </c>
      <c r="C18" s="39">
        <f t="shared" si="1"/>
        <v>400</v>
      </c>
      <c r="D18" s="42">
        <f t="shared" si="2"/>
        <v>24533.333333333347</v>
      </c>
      <c r="E18" s="39">
        <f t="shared" ca="1" si="3"/>
        <v>35352.278637770905</v>
      </c>
      <c r="F18" s="59">
        <f ca="1">D18 - IF('Charging&gt;Miles'!$J$10 &gt; 15000, ('Charging&gt;Miles'!$J$10 - 15000) * 0.1 / 12 * A18, 0)</f>
        <v>19328.503147574833</v>
      </c>
    </row>
    <row r="19" spans="1:6" x14ac:dyDescent="0.25">
      <c r="A19" s="38">
        <v>16</v>
      </c>
      <c r="B19" s="38">
        <f t="shared" si="0"/>
        <v>0.35</v>
      </c>
      <c r="C19" s="39">
        <f t="shared" si="1"/>
        <v>400</v>
      </c>
      <c r="D19" s="42">
        <f t="shared" si="2"/>
        <v>24133.333333333347</v>
      </c>
      <c r="E19" s="39">
        <f t="shared" ca="1" si="3"/>
        <v>37709.097213622299</v>
      </c>
      <c r="F19" s="59">
        <f ca="1">D19 - IF('Charging&gt;Miles'!$J$10 &gt; 15000, ('Charging&gt;Miles'!$J$10 - 15000) * 0.1 / 12 * A19, 0)</f>
        <v>18581.514468524263</v>
      </c>
    </row>
    <row r="20" spans="1:6" x14ac:dyDescent="0.25">
      <c r="A20" s="38">
        <v>17</v>
      </c>
      <c r="B20" s="38">
        <f t="shared" si="0"/>
        <v>0.35</v>
      </c>
      <c r="C20" s="39">
        <f t="shared" si="1"/>
        <v>400</v>
      </c>
      <c r="D20" s="42">
        <f t="shared" si="2"/>
        <v>23733.333333333347</v>
      </c>
      <c r="E20" s="39">
        <f t="shared" ca="1" si="3"/>
        <v>40065.915789473693</v>
      </c>
      <c r="F20" s="59">
        <f ca="1">D20 - IF('Charging&gt;Miles'!$J$10 &gt; 15000, ('Charging&gt;Miles'!$J$10 - 15000) * 0.1 / 12 * A20, 0)</f>
        <v>17834.525789473697</v>
      </c>
    </row>
    <row r="21" spans="1:6" x14ac:dyDescent="0.25">
      <c r="A21" s="38">
        <v>18</v>
      </c>
      <c r="B21" s="38">
        <f t="shared" si="0"/>
        <v>0.35</v>
      </c>
      <c r="C21" s="39">
        <f t="shared" si="1"/>
        <v>400</v>
      </c>
      <c r="D21" s="42">
        <f t="shared" si="2"/>
        <v>23333.333333333347</v>
      </c>
      <c r="E21" s="39">
        <f t="shared" ca="1" si="3"/>
        <v>42422.734365325086</v>
      </c>
      <c r="F21" s="59">
        <f ca="1">D21 - IF('Charging&gt;Miles'!$J$10 &gt; 15000, ('Charging&gt;Miles'!$J$10 - 15000) * 0.1 / 12 * A21, 0)</f>
        <v>17087.537110423131</v>
      </c>
    </row>
    <row r="22" spans="1:6" x14ac:dyDescent="0.25">
      <c r="A22" s="38">
        <v>19</v>
      </c>
      <c r="B22" s="38">
        <f t="shared" si="0"/>
        <v>0.35</v>
      </c>
      <c r="C22" s="39">
        <f t="shared" si="1"/>
        <v>400</v>
      </c>
      <c r="D22" s="42">
        <f t="shared" si="2"/>
        <v>22933.333333333347</v>
      </c>
      <c r="E22" s="39">
        <f t="shared" ca="1" si="3"/>
        <v>44779.55294117648</v>
      </c>
      <c r="F22" s="59">
        <f ca="1">D22 - IF('Charging&gt;Miles'!$J$10 &gt; 15000, ('Charging&gt;Miles'!$J$10 - 15000) * 0.1 / 12 * A22, 0)</f>
        <v>16340.548431372561</v>
      </c>
    </row>
    <row r="23" spans="1:6" x14ac:dyDescent="0.25">
      <c r="A23" s="38">
        <v>20</v>
      </c>
      <c r="B23" s="38">
        <f t="shared" si="0"/>
        <v>0.35</v>
      </c>
      <c r="C23" s="39">
        <f t="shared" si="1"/>
        <v>400</v>
      </c>
      <c r="D23" s="42">
        <f t="shared" si="2"/>
        <v>22533.333333333347</v>
      </c>
      <c r="E23" s="39">
        <f t="shared" ca="1" si="3"/>
        <v>47136.371517027874</v>
      </c>
      <c r="F23" s="59">
        <f ca="1">D23 - IF('Charging&gt;Miles'!$J$10 &gt; 15000, ('Charging&gt;Miles'!$J$10 - 15000) * 0.1 / 12 * A23, 0)</f>
        <v>15593.559752321993</v>
      </c>
    </row>
    <row r="24" spans="1:6" x14ac:dyDescent="0.25">
      <c r="A24" s="38">
        <v>21</v>
      </c>
      <c r="B24" s="38">
        <f t="shared" si="0"/>
        <v>0.35</v>
      </c>
      <c r="C24" s="39">
        <f t="shared" si="1"/>
        <v>400</v>
      </c>
      <c r="D24" s="42">
        <f t="shared" si="2"/>
        <v>22133.333333333347</v>
      </c>
      <c r="E24" s="39">
        <f t="shared" ca="1" si="3"/>
        <v>49493.190092879267</v>
      </c>
      <c r="F24" s="59">
        <f ca="1">D24 - IF('Charging&gt;Miles'!$J$10 &gt; 15000, ('Charging&gt;Miles'!$J$10 - 15000) * 0.1 / 12 * A24, 0)</f>
        <v>14846.571073271425</v>
      </c>
    </row>
    <row r="25" spans="1:6" x14ac:dyDescent="0.25">
      <c r="A25" s="38">
        <v>22</v>
      </c>
      <c r="B25" s="38">
        <f t="shared" si="0"/>
        <v>0.35</v>
      </c>
      <c r="C25" s="39">
        <f t="shared" si="1"/>
        <v>400</v>
      </c>
      <c r="D25" s="42">
        <f t="shared" si="2"/>
        <v>21733.333333333347</v>
      </c>
      <c r="E25" s="39">
        <f t="shared" ca="1" si="3"/>
        <v>51850.008668730661</v>
      </c>
      <c r="F25" s="59">
        <f ca="1">D25 - IF('Charging&gt;Miles'!$J$10 &gt; 15000, ('Charging&gt;Miles'!$J$10 - 15000) * 0.1 / 12 * A25, 0)</f>
        <v>14099.582394220859</v>
      </c>
    </row>
    <row r="26" spans="1:6" x14ac:dyDescent="0.25">
      <c r="A26" s="38">
        <v>23</v>
      </c>
      <c r="B26" s="38">
        <f t="shared" si="0"/>
        <v>0.35</v>
      </c>
      <c r="C26" s="39">
        <f t="shared" si="1"/>
        <v>400</v>
      </c>
      <c r="D26" s="42">
        <f t="shared" si="2"/>
        <v>21333.333333333347</v>
      </c>
      <c r="E26" s="39">
        <f t="shared" ca="1" si="3"/>
        <v>54206.827244582055</v>
      </c>
      <c r="F26" s="59">
        <f ca="1">D26 - IF('Charging&gt;Miles'!$J$10 &gt; 15000, ('Charging&gt;Miles'!$J$10 - 15000) * 0.1 / 12 * A26, 0)</f>
        <v>13352.593715170289</v>
      </c>
    </row>
    <row r="27" spans="1:6" x14ac:dyDescent="0.25">
      <c r="A27" s="38">
        <v>24</v>
      </c>
      <c r="B27" s="38">
        <f t="shared" si="0"/>
        <v>0.35</v>
      </c>
      <c r="C27" s="39">
        <f t="shared" si="1"/>
        <v>266.66666666666669</v>
      </c>
      <c r="D27" s="42">
        <f t="shared" si="2"/>
        <v>21066.666666666679</v>
      </c>
      <c r="E27" s="39">
        <f t="shared" ca="1" si="3"/>
        <v>56563.645820433449</v>
      </c>
      <c r="F27" s="59">
        <f ca="1">D27 - IF('Charging&gt;Miles'!$J$10 &gt; 15000, ('Charging&gt;Miles'!$J$10 - 15000) * 0.1 / 12 * A27, 0)</f>
        <v>12738.938369453055</v>
      </c>
    </row>
    <row r="28" spans="1:6" x14ac:dyDescent="0.25">
      <c r="A28" s="38">
        <v>25</v>
      </c>
      <c r="B28" s="38">
        <f t="shared" si="0"/>
        <v>0.45</v>
      </c>
      <c r="C28" s="39">
        <f t="shared" si="1"/>
        <v>266.66666666666669</v>
      </c>
      <c r="D28" s="42">
        <f t="shared" si="2"/>
        <v>20800.000000000011</v>
      </c>
      <c r="E28" s="39">
        <f t="shared" ca="1" si="3"/>
        <v>58920.464396284842</v>
      </c>
      <c r="F28" s="59">
        <f ca="1">D28 - IF('Charging&gt;Miles'!$J$10 &gt; 15000, ('Charging&gt;Miles'!$J$10 - 15000) * 0.1 / 12 * A28, 0)</f>
        <v>12125.283023735819</v>
      </c>
    </row>
    <row r="29" spans="1:6" x14ac:dyDescent="0.25">
      <c r="A29" s="38">
        <v>26</v>
      </c>
      <c r="B29" s="38">
        <f t="shared" si="0"/>
        <v>0.45</v>
      </c>
      <c r="C29" s="39">
        <f t="shared" si="1"/>
        <v>266.66666666666669</v>
      </c>
      <c r="D29" s="42">
        <f t="shared" si="2"/>
        <v>20533.333333333343</v>
      </c>
      <c r="E29" s="39">
        <f t="shared" ca="1" si="3"/>
        <v>61277.282972136236</v>
      </c>
      <c r="F29" s="59">
        <f ca="1">D29 - IF('Charging&gt;Miles'!$J$10 &gt; 15000, ('Charging&gt;Miles'!$J$10 - 15000) * 0.1 / 12 * A29, 0)</f>
        <v>11511.627678018584</v>
      </c>
    </row>
    <row r="30" spans="1:6" x14ac:dyDescent="0.25">
      <c r="A30" s="38">
        <v>27</v>
      </c>
      <c r="B30" s="38">
        <f t="shared" si="0"/>
        <v>0.45</v>
      </c>
      <c r="C30" s="39">
        <f t="shared" si="1"/>
        <v>266.66666666666669</v>
      </c>
      <c r="D30" s="42">
        <f t="shared" si="2"/>
        <v>20266.666666666675</v>
      </c>
      <c r="E30" s="39">
        <f t="shared" ca="1" si="3"/>
        <v>63634.10154798763</v>
      </c>
      <c r="F30" s="59">
        <f ca="1">D30 - IF('Charging&gt;Miles'!$J$10 &gt; 15000, ('Charging&gt;Miles'!$J$10 - 15000) * 0.1 / 12 * A30, 0)</f>
        <v>10897.972332301348</v>
      </c>
    </row>
    <row r="31" spans="1:6" x14ac:dyDescent="0.25">
      <c r="A31" s="38">
        <v>28</v>
      </c>
      <c r="B31" s="38">
        <f t="shared" si="0"/>
        <v>0.45</v>
      </c>
      <c r="C31" s="39">
        <f t="shared" si="1"/>
        <v>266.66666666666669</v>
      </c>
      <c r="D31" s="42">
        <f t="shared" si="2"/>
        <v>20000.000000000007</v>
      </c>
      <c r="E31" s="39">
        <f t="shared" ca="1" si="3"/>
        <v>65990.920123839023</v>
      </c>
      <c r="F31" s="59">
        <f ca="1">D31 - IF('Charging&gt;Miles'!$J$10 &gt; 15000, ('Charging&gt;Miles'!$J$10 - 15000) * 0.1 / 12 * A31, 0)</f>
        <v>10284.316986584112</v>
      </c>
    </row>
    <row r="32" spans="1:6" x14ac:dyDescent="0.25">
      <c r="A32" s="38">
        <v>29</v>
      </c>
      <c r="B32" s="38">
        <f t="shared" si="0"/>
        <v>0.45</v>
      </c>
      <c r="C32" s="39">
        <f t="shared" si="1"/>
        <v>266.66666666666669</v>
      </c>
      <c r="D32" s="42">
        <f t="shared" si="2"/>
        <v>19733.333333333339</v>
      </c>
      <c r="E32" s="39">
        <f t="shared" ca="1" si="3"/>
        <v>68347.73869969041</v>
      </c>
      <c r="F32" s="59">
        <f ca="1">D32 - IF('Charging&gt;Miles'!$J$10 &gt; 15000, ('Charging&gt;Miles'!$J$10 - 15000) * 0.1 / 12 * A32, 0)</f>
        <v>9670.6616408668779</v>
      </c>
    </row>
    <row r="33" spans="1:6" x14ac:dyDescent="0.25">
      <c r="A33" s="38">
        <v>30</v>
      </c>
      <c r="B33" s="38">
        <f t="shared" si="0"/>
        <v>0.45</v>
      </c>
      <c r="C33" s="39">
        <f t="shared" si="1"/>
        <v>266.66666666666669</v>
      </c>
      <c r="D33" s="42">
        <f t="shared" si="2"/>
        <v>19466.666666666672</v>
      </c>
      <c r="E33" s="39">
        <f t="shared" ca="1" si="3"/>
        <v>70704.557275541796</v>
      </c>
      <c r="F33" s="59">
        <f ca="1">D33 - IF('Charging&gt;Miles'!$J$10 &gt; 15000, ('Charging&gt;Miles'!$J$10 - 15000) * 0.1 / 12 * A33, 0)</f>
        <v>9057.006295149642</v>
      </c>
    </row>
    <row r="34" spans="1:6" x14ac:dyDescent="0.25">
      <c r="A34" s="38">
        <v>31</v>
      </c>
      <c r="B34" s="38">
        <f t="shared" si="0"/>
        <v>0.45</v>
      </c>
      <c r="C34" s="39">
        <f t="shared" si="1"/>
        <v>266.66666666666669</v>
      </c>
      <c r="D34" s="42">
        <f t="shared" si="2"/>
        <v>19200.000000000004</v>
      </c>
      <c r="E34" s="39">
        <f t="shared" ca="1" si="3"/>
        <v>73061.375851393183</v>
      </c>
      <c r="F34" s="59">
        <f ca="1">D34 - IF('Charging&gt;Miles'!$J$10 &gt; 15000, ('Charging&gt;Miles'!$J$10 - 15000) * 0.1 / 12 * A34, 0)</f>
        <v>8443.3509494324062</v>
      </c>
    </row>
    <row r="35" spans="1:6" x14ac:dyDescent="0.25">
      <c r="A35" s="38">
        <v>32</v>
      </c>
      <c r="B35" s="38">
        <f t="shared" si="0"/>
        <v>0.45</v>
      </c>
      <c r="C35" s="39">
        <f t="shared" si="1"/>
        <v>266.66666666666669</v>
      </c>
      <c r="D35" s="42">
        <f t="shared" si="2"/>
        <v>18933.333333333336</v>
      </c>
      <c r="E35" s="39">
        <f t="shared" ca="1" si="3"/>
        <v>75418.194427244569</v>
      </c>
      <c r="F35" s="59">
        <f ca="1">D35 - IF('Charging&gt;Miles'!$J$10 &gt; 15000, ('Charging&gt;Miles'!$J$10 - 15000) * 0.1 / 12 * A35, 0)</f>
        <v>7829.6956037151704</v>
      </c>
    </row>
    <row r="36" spans="1:6" x14ac:dyDescent="0.25">
      <c r="A36" s="38">
        <v>33</v>
      </c>
      <c r="B36" s="38">
        <f t="shared" si="0"/>
        <v>0.45</v>
      </c>
      <c r="C36" s="39">
        <f t="shared" si="1"/>
        <v>266.66666666666669</v>
      </c>
      <c r="D36" s="42">
        <f t="shared" si="2"/>
        <v>18666.666666666668</v>
      </c>
      <c r="E36" s="39">
        <f t="shared" ca="1" si="3"/>
        <v>77775.013003095955</v>
      </c>
      <c r="F36" s="59">
        <f ca="1">D36 - IF('Charging&gt;Miles'!$J$10 &gt; 15000, ('Charging&gt;Miles'!$J$10 - 15000) * 0.1 / 12 * A36, 0)</f>
        <v>7216.0402579979345</v>
      </c>
    </row>
    <row r="37" spans="1:6" x14ac:dyDescent="0.25">
      <c r="A37" s="38">
        <v>34</v>
      </c>
      <c r="B37" s="38">
        <f t="shared" si="0"/>
        <v>0.45</v>
      </c>
      <c r="C37" s="39">
        <f t="shared" si="1"/>
        <v>266.66666666666669</v>
      </c>
      <c r="D37" s="42">
        <f t="shared" si="2"/>
        <v>18400</v>
      </c>
      <c r="E37" s="39">
        <f t="shared" ca="1" si="3"/>
        <v>80131.831578947342</v>
      </c>
      <c r="F37" s="59">
        <f ca="1">D37 - IF('Charging&gt;Miles'!$J$10 &gt; 15000, ('Charging&gt;Miles'!$J$10 - 15000) * 0.1 / 12 * A37, 0)</f>
        <v>6602.3849122806987</v>
      </c>
    </row>
    <row r="38" spans="1:6" x14ac:dyDescent="0.25">
      <c r="A38" s="38">
        <v>35</v>
      </c>
      <c r="B38" s="38">
        <f t="shared" si="0"/>
        <v>0.45</v>
      </c>
      <c r="C38" s="39">
        <f t="shared" si="1"/>
        <v>266.66666666666669</v>
      </c>
      <c r="D38" s="42">
        <f t="shared" si="2"/>
        <v>18133.333333333332</v>
      </c>
      <c r="E38" s="39">
        <f t="shared" ca="1" si="3"/>
        <v>82488.650154798728</v>
      </c>
      <c r="F38" s="59">
        <f ca="1">D38 - IF('Charging&gt;Miles'!$J$10 &gt; 15000, ('Charging&gt;Miles'!$J$10 - 15000) * 0.1 / 12 * A38, 0)</f>
        <v>5988.7295665634629</v>
      </c>
    </row>
    <row r="39" spans="1:6" x14ac:dyDescent="0.25">
      <c r="A39" s="38">
        <v>36</v>
      </c>
      <c r="B39" s="38">
        <f t="shared" si="0"/>
        <v>0.45</v>
      </c>
      <c r="C39" s="39">
        <f t="shared" si="1"/>
        <v>213.33333333333334</v>
      </c>
      <c r="D39" s="42">
        <f t="shared" si="2"/>
        <v>17920</v>
      </c>
      <c r="E39" s="39">
        <f t="shared" ca="1" si="3"/>
        <v>84845.468730650115</v>
      </c>
      <c r="F39" s="59">
        <f ca="1">D39 - IF('Charging&gt;Miles'!$J$10 &gt; 15000, ('Charging&gt;Miles'!$J$10 - 15000) * 0.1 / 12 * A39, 0)</f>
        <v>5428.4075541795646</v>
      </c>
    </row>
    <row r="40" spans="1:6" x14ac:dyDescent="0.25">
      <c r="A40" s="38">
        <v>37</v>
      </c>
      <c r="B40" s="38">
        <f t="shared" si="0"/>
        <v>0.53</v>
      </c>
      <c r="C40" s="39">
        <f t="shared" si="1"/>
        <v>213.33333333333334</v>
      </c>
      <c r="D40" s="42">
        <f t="shared" si="2"/>
        <v>17706.666666666668</v>
      </c>
      <c r="E40" s="39">
        <f t="shared" ca="1" si="3"/>
        <v>87202.287306501501</v>
      </c>
      <c r="F40" s="59">
        <f ca="1">D40 - IF('Charging&gt;Miles'!$J$10 &gt; 15000, ('Charging&gt;Miles'!$J$10 - 15000) * 0.1 / 12 * A40, 0)</f>
        <v>4868.0855417956645</v>
      </c>
    </row>
    <row r="41" spans="1:6" x14ac:dyDescent="0.25">
      <c r="A41" s="38">
        <v>38</v>
      </c>
      <c r="B41" s="38">
        <f t="shared" si="0"/>
        <v>0.53</v>
      </c>
      <c r="C41" s="39">
        <f t="shared" si="1"/>
        <v>213.33333333333334</v>
      </c>
      <c r="D41" s="42">
        <f t="shared" si="2"/>
        <v>17493.333333333336</v>
      </c>
      <c r="E41" s="39">
        <f t="shared" ca="1" si="3"/>
        <v>89559.105882352887</v>
      </c>
      <c r="F41" s="59">
        <f ca="1">D41 - IF('Charging&gt;Miles'!$J$10 &gt; 15000, ('Charging&gt;Miles'!$J$10 - 15000) * 0.1 / 12 * A41, 0)</f>
        <v>4307.7635294117645</v>
      </c>
    </row>
    <row r="42" spans="1:6" x14ac:dyDescent="0.25">
      <c r="A42" s="38">
        <v>39</v>
      </c>
      <c r="B42" s="38">
        <f t="shared" si="0"/>
        <v>0.53</v>
      </c>
      <c r="C42" s="39">
        <f t="shared" si="1"/>
        <v>213.33333333333334</v>
      </c>
      <c r="D42" s="42">
        <f t="shared" si="2"/>
        <v>17280.000000000004</v>
      </c>
      <c r="E42" s="39">
        <f t="shared" ca="1" si="3"/>
        <v>91915.924458204274</v>
      </c>
      <c r="F42" s="59">
        <f ca="1">D42 - IF('Charging&gt;Miles'!$J$10 &gt; 15000, ('Charging&gt;Miles'!$J$10 - 15000) * 0.1 / 12 * A42, 0)</f>
        <v>3747.4415170278644</v>
      </c>
    </row>
    <row r="43" spans="1:6" x14ac:dyDescent="0.25">
      <c r="A43" s="38">
        <v>40</v>
      </c>
      <c r="B43" s="38">
        <f t="shared" si="0"/>
        <v>0.53</v>
      </c>
      <c r="C43" s="39">
        <f t="shared" si="1"/>
        <v>213.33333333333334</v>
      </c>
      <c r="D43" s="42">
        <f t="shared" si="2"/>
        <v>17066.666666666672</v>
      </c>
      <c r="E43" s="39">
        <f t="shared" ca="1" si="3"/>
        <v>94272.74303405566</v>
      </c>
      <c r="F43" s="59">
        <f ca="1">D43 - IF('Charging&gt;Miles'!$J$10 &gt; 15000, ('Charging&gt;Miles'!$J$10 - 15000) * 0.1 / 12 * A43, 0)</f>
        <v>3187.1195046439643</v>
      </c>
    </row>
    <row r="44" spans="1:6" x14ac:dyDescent="0.25">
      <c r="A44" s="38">
        <v>41</v>
      </c>
      <c r="B44" s="38">
        <f t="shared" si="0"/>
        <v>0.53</v>
      </c>
      <c r="C44" s="39">
        <f t="shared" si="1"/>
        <v>213.33333333333334</v>
      </c>
      <c r="D44" s="42">
        <f t="shared" si="2"/>
        <v>16853.333333333339</v>
      </c>
      <c r="E44" s="39">
        <f t="shared" ca="1" si="3"/>
        <v>96629.561609907047</v>
      </c>
      <c r="F44" s="59">
        <f ca="1">D44 - IF('Charging&gt;Miles'!$J$10 &gt; 15000, ('Charging&gt;Miles'!$J$10 - 15000) * 0.1 / 12 * A44, 0)</f>
        <v>2626.7974922600642</v>
      </c>
    </row>
    <row r="45" spans="1:6" x14ac:dyDescent="0.25">
      <c r="A45" s="38">
        <v>42</v>
      </c>
      <c r="B45" s="38">
        <f t="shared" si="0"/>
        <v>0.53</v>
      </c>
      <c r="C45" s="39">
        <f t="shared" si="1"/>
        <v>213.33333333333334</v>
      </c>
      <c r="D45" s="42">
        <f t="shared" si="2"/>
        <v>16640.000000000007</v>
      </c>
      <c r="E45" s="39">
        <f t="shared" ca="1" si="3"/>
        <v>98986.380185758433</v>
      </c>
      <c r="F45" s="59">
        <f ca="1">D45 - IF('Charging&gt;Miles'!$J$10 &gt; 15000, ('Charging&gt;Miles'!$J$10 - 15000) * 0.1 / 12 * A45, 0)</f>
        <v>2066.475479876166</v>
      </c>
    </row>
    <row r="46" spans="1:6" x14ac:dyDescent="0.25">
      <c r="A46" s="38">
        <v>43</v>
      </c>
      <c r="B46" s="38">
        <f t="shared" si="0"/>
        <v>0.53</v>
      </c>
      <c r="C46" s="39">
        <f t="shared" si="1"/>
        <v>213.33333333333334</v>
      </c>
      <c r="D46" s="42">
        <f t="shared" si="2"/>
        <v>16426.666666666675</v>
      </c>
      <c r="E46" s="39">
        <f t="shared" ca="1" si="3"/>
        <v>101343.19876160982</v>
      </c>
      <c r="F46" s="59">
        <f ca="1">D46 - IF('Charging&gt;Miles'!$J$10 &gt; 15000, ('Charging&gt;Miles'!$J$10 - 15000) * 0.1 / 12 * A46, 0)</f>
        <v>1506.1534674922659</v>
      </c>
    </row>
    <row r="47" spans="1:6" x14ac:dyDescent="0.25">
      <c r="A47" s="38">
        <v>44</v>
      </c>
      <c r="B47" s="38">
        <f t="shared" si="0"/>
        <v>0.53</v>
      </c>
      <c r="C47" s="39">
        <f t="shared" si="1"/>
        <v>213.33333333333334</v>
      </c>
      <c r="D47" s="42">
        <f t="shared" si="2"/>
        <v>16213.333333333341</v>
      </c>
      <c r="E47" s="39">
        <f t="shared" ca="1" si="3"/>
        <v>103700.01733746121</v>
      </c>
      <c r="F47" s="59">
        <f ca="1">D47 - IF('Charging&gt;Miles'!$J$10 &gt; 15000, ('Charging&gt;Miles'!$J$10 - 15000) * 0.1 / 12 * A47, 0)</f>
        <v>945.83145510836403</v>
      </c>
    </row>
    <row r="48" spans="1:6" x14ac:dyDescent="0.25">
      <c r="A48" s="38">
        <v>45</v>
      </c>
      <c r="B48" s="38">
        <f t="shared" si="0"/>
        <v>0.53</v>
      </c>
      <c r="C48" s="39">
        <f t="shared" si="1"/>
        <v>213.33333333333334</v>
      </c>
      <c r="D48" s="42">
        <f t="shared" si="2"/>
        <v>16000.000000000007</v>
      </c>
      <c r="E48" s="39">
        <f t="shared" ca="1" si="3"/>
        <v>106056.83591331259</v>
      </c>
      <c r="F48" s="59">
        <f ca="1">D48 - IF('Charging&gt;Miles'!$J$10 &gt; 15000, ('Charging&gt;Miles'!$J$10 - 15000) * 0.1 / 12 * A48, 0)</f>
        <v>385.50944272446213</v>
      </c>
    </row>
    <row r="49" spans="1:6" x14ac:dyDescent="0.25">
      <c r="A49" s="38">
        <v>46</v>
      </c>
      <c r="B49" s="38">
        <f t="shared" si="0"/>
        <v>0.53</v>
      </c>
      <c r="C49" s="39">
        <f t="shared" si="1"/>
        <v>213.33333333333334</v>
      </c>
      <c r="D49" s="42">
        <f t="shared" si="2"/>
        <v>15786.666666666673</v>
      </c>
      <c r="E49" s="39">
        <f t="shared" ca="1" si="3"/>
        <v>108413.65448916398</v>
      </c>
      <c r="F49" s="59">
        <f ca="1">D49 - IF('Charging&gt;Miles'!$J$10 &gt; 15000, ('Charging&gt;Miles'!$J$10 - 15000) * 0.1 / 12 * A49, 0)</f>
        <v>-174.81256965943976</v>
      </c>
    </row>
    <row r="50" spans="1:6" x14ac:dyDescent="0.25">
      <c r="A50" s="38">
        <v>47</v>
      </c>
      <c r="B50" s="38">
        <f t="shared" si="0"/>
        <v>0.53</v>
      </c>
      <c r="C50" s="39">
        <f t="shared" si="1"/>
        <v>213.33333333333334</v>
      </c>
      <c r="D50" s="42">
        <f t="shared" si="2"/>
        <v>15573.333333333339</v>
      </c>
      <c r="E50" s="39">
        <f t="shared" ca="1" si="3"/>
        <v>110770.47306501537</v>
      </c>
      <c r="F50" s="59">
        <f ca="1">D50 - IF('Charging&gt;Miles'!$J$10 &gt; 15000, ('Charging&gt;Miles'!$J$10 - 15000) * 0.1 / 12 * A50, 0)</f>
        <v>-735.13458204334165</v>
      </c>
    </row>
    <row r="51" spans="1:6" x14ac:dyDescent="0.25">
      <c r="A51" s="38">
        <v>48</v>
      </c>
      <c r="B51" s="38">
        <f t="shared" si="0"/>
        <v>0.53</v>
      </c>
      <c r="C51" s="39">
        <f t="shared" si="1"/>
        <v>133.33333333333317</v>
      </c>
      <c r="D51" s="42">
        <f t="shared" si="2"/>
        <v>15440.000000000005</v>
      </c>
      <c r="E51" s="39">
        <f t="shared" ca="1" si="3"/>
        <v>113127.29164086675</v>
      </c>
      <c r="F51" s="59">
        <f ca="1">D51 - IF('Charging&gt;Miles'!$J$10 &gt; 15000, ('Charging&gt;Miles'!$J$10 - 15000) * 0.1 / 12 * A51, 0)</f>
        <v>-1215.4565944272417</v>
      </c>
    </row>
    <row r="52" spans="1:6" x14ac:dyDescent="0.25">
      <c r="A52" s="38">
        <v>49</v>
      </c>
      <c r="B52" s="38">
        <f t="shared" si="0"/>
        <v>0.57999999999999996</v>
      </c>
      <c r="C52" s="39">
        <f t="shared" si="1"/>
        <v>133.33333333333317</v>
      </c>
      <c r="D52" s="42">
        <f t="shared" si="2"/>
        <v>15306.666666666672</v>
      </c>
      <c r="E52" s="39">
        <f t="shared" ca="1" si="3"/>
        <v>115484.11021671814</v>
      </c>
      <c r="F52" s="59">
        <f ca="1">D52 - IF('Charging&gt;Miles'!$J$10 &gt; 15000, ('Charging&gt;Miles'!$J$10 - 15000) * 0.1 / 12 * A52, 0)</f>
        <v>-1695.7786068111454</v>
      </c>
    </row>
    <row r="53" spans="1:6" x14ac:dyDescent="0.25">
      <c r="A53" s="38">
        <v>50</v>
      </c>
      <c r="B53" s="38">
        <f t="shared" si="0"/>
        <v>0.57999999999999996</v>
      </c>
      <c r="C53" s="39">
        <f t="shared" si="1"/>
        <v>133.33333333333317</v>
      </c>
      <c r="D53" s="42">
        <f t="shared" si="2"/>
        <v>15173.333333333338</v>
      </c>
      <c r="E53" s="39">
        <f t="shared" ca="1" si="3"/>
        <v>117840.92879256952</v>
      </c>
      <c r="F53" s="59">
        <f ca="1">D53 - IF('Charging&gt;Miles'!$J$10 &gt; 15000, ('Charging&gt;Miles'!$J$10 - 15000) * 0.1 / 12 * A53, 0)</f>
        <v>-2176.1006191950455</v>
      </c>
    </row>
    <row r="54" spans="1:6" x14ac:dyDescent="0.25">
      <c r="A54" s="38">
        <v>51</v>
      </c>
      <c r="B54" s="38">
        <f t="shared" si="0"/>
        <v>0.57999999999999996</v>
      </c>
      <c r="C54" s="39">
        <f t="shared" si="1"/>
        <v>133.33333333333317</v>
      </c>
      <c r="D54" s="42">
        <f t="shared" si="2"/>
        <v>15040.000000000004</v>
      </c>
      <c r="E54" s="39">
        <f t="shared" ca="1" si="3"/>
        <v>120197.74736842091</v>
      </c>
      <c r="F54" s="59">
        <f ca="1">D54 - IF('Charging&gt;Miles'!$J$10 &gt; 15000, ('Charging&gt;Miles'!$J$10 - 15000) * 0.1 / 12 * A54, 0)</f>
        <v>-2656.4226315789492</v>
      </c>
    </row>
    <row r="55" spans="1:6" x14ac:dyDescent="0.25">
      <c r="A55" s="38">
        <v>52</v>
      </c>
      <c r="B55" s="38">
        <f t="shared" si="0"/>
        <v>0.57999999999999996</v>
      </c>
      <c r="C55" s="39">
        <f t="shared" si="1"/>
        <v>133.33333333333317</v>
      </c>
      <c r="D55" s="42">
        <f t="shared" si="2"/>
        <v>14906.66666666667</v>
      </c>
      <c r="E55" s="39">
        <f t="shared" ca="1" si="3"/>
        <v>122554.5659442723</v>
      </c>
      <c r="F55" s="59">
        <f ca="1">D55 - IF('Charging&gt;Miles'!$J$10 &gt; 15000, ('Charging&gt;Miles'!$J$10 - 15000) * 0.1 / 12 * A55, 0)</f>
        <v>-3136.7446439628493</v>
      </c>
    </row>
    <row r="56" spans="1:6" x14ac:dyDescent="0.25">
      <c r="A56" s="38">
        <v>53</v>
      </c>
      <c r="B56" s="38">
        <f t="shared" si="0"/>
        <v>0.57999999999999996</v>
      </c>
      <c r="C56" s="39">
        <f t="shared" si="1"/>
        <v>133.33333333333317</v>
      </c>
      <c r="D56" s="42">
        <f t="shared" si="2"/>
        <v>14773.333333333336</v>
      </c>
      <c r="E56" s="39">
        <f t="shared" ca="1" si="3"/>
        <v>124911.38452012368</v>
      </c>
      <c r="F56" s="59">
        <f ca="1">D56 - IF('Charging&gt;Miles'!$J$10 &gt; 15000, ('Charging&gt;Miles'!$J$10 - 15000) * 0.1 / 12 * A56, 0)</f>
        <v>-3617.0666563467494</v>
      </c>
    </row>
    <row r="57" spans="1:6" x14ac:dyDescent="0.25">
      <c r="A57" s="38">
        <v>54</v>
      </c>
      <c r="B57" s="38">
        <f t="shared" si="0"/>
        <v>0.57999999999999996</v>
      </c>
      <c r="C57" s="39">
        <f t="shared" si="1"/>
        <v>133.33333333333317</v>
      </c>
      <c r="D57" s="42">
        <f t="shared" si="2"/>
        <v>14640.000000000002</v>
      </c>
      <c r="E57" s="39">
        <f t="shared" ca="1" si="3"/>
        <v>127268.20309597507</v>
      </c>
      <c r="F57" s="59">
        <f ca="1">D57 - IF('Charging&gt;Miles'!$J$10 &gt; 15000, ('Charging&gt;Miles'!$J$10 - 15000) * 0.1 / 12 * A57, 0)</f>
        <v>-4097.3886687306531</v>
      </c>
    </row>
    <row r="58" spans="1:6" x14ac:dyDescent="0.25">
      <c r="A58" s="38">
        <v>55</v>
      </c>
      <c r="B58" s="38">
        <f t="shared" si="0"/>
        <v>0.57999999999999996</v>
      </c>
      <c r="C58" s="39">
        <f t="shared" si="1"/>
        <v>133.33333333333317</v>
      </c>
      <c r="D58" s="42">
        <f t="shared" si="2"/>
        <v>14506.666666666668</v>
      </c>
      <c r="E58" s="39">
        <f t="shared" ca="1" si="3"/>
        <v>129625.02167182646</v>
      </c>
      <c r="F58" s="59">
        <f ca="1">D58 - IF('Charging&gt;Miles'!$J$10 &gt; 15000, ('Charging&gt;Miles'!$J$10 - 15000) * 0.1 / 12 * A58, 0)</f>
        <v>-4577.7106811145532</v>
      </c>
    </row>
    <row r="59" spans="1:6" x14ac:dyDescent="0.25">
      <c r="A59" s="38">
        <v>56</v>
      </c>
      <c r="B59" s="38">
        <f t="shared" si="0"/>
        <v>0.57999999999999996</v>
      </c>
      <c r="C59" s="39">
        <f t="shared" si="1"/>
        <v>133.33333333333317</v>
      </c>
      <c r="D59" s="42">
        <f t="shared" si="2"/>
        <v>14373.333333333334</v>
      </c>
      <c r="E59" s="39">
        <f t="shared" ca="1" si="3"/>
        <v>131981.84024767784</v>
      </c>
      <c r="F59" s="59">
        <f ca="1">D59 - IF('Charging&gt;Miles'!$J$10 &gt; 15000, ('Charging&gt;Miles'!$J$10 - 15000) * 0.1 / 12 * A59, 0)</f>
        <v>-5058.0326934984569</v>
      </c>
    </row>
    <row r="60" spans="1:6" x14ac:dyDescent="0.25">
      <c r="A60" s="38">
        <v>57</v>
      </c>
      <c r="B60" s="38">
        <f t="shared" si="0"/>
        <v>0.57999999999999996</v>
      </c>
      <c r="C60" s="39">
        <f t="shared" si="1"/>
        <v>133.33333333333317</v>
      </c>
      <c r="D60" s="42">
        <f t="shared" si="2"/>
        <v>14240</v>
      </c>
      <c r="E60" s="39">
        <f t="shared" ca="1" si="3"/>
        <v>134338.65882352923</v>
      </c>
      <c r="F60" s="59">
        <f ca="1">D60 - IF('Charging&gt;Miles'!$J$10 &gt; 15000, ('Charging&gt;Miles'!$J$10 - 15000) * 0.1 / 12 * A60, 0)</f>
        <v>-5538.3547058823569</v>
      </c>
    </row>
    <row r="61" spans="1:6" x14ac:dyDescent="0.25">
      <c r="A61" s="38">
        <v>58</v>
      </c>
      <c r="B61" s="38">
        <f t="shared" si="0"/>
        <v>0.57999999999999996</v>
      </c>
      <c r="C61" s="39">
        <f t="shared" si="1"/>
        <v>133.33333333333317</v>
      </c>
      <c r="D61" s="42">
        <f t="shared" si="2"/>
        <v>14106.666666666666</v>
      </c>
      <c r="E61" s="39">
        <f t="shared" ca="1" si="3"/>
        <v>136695.47739938062</v>
      </c>
      <c r="F61" s="59">
        <f ca="1">D61 - IF('Charging&gt;Miles'!$J$10 &gt; 15000, ('Charging&gt;Miles'!$J$10 - 15000) * 0.1 / 12 * A61, 0)</f>
        <v>-6018.676718266257</v>
      </c>
    </row>
    <row r="62" spans="1:6" x14ac:dyDescent="0.25">
      <c r="A62" s="38">
        <v>59</v>
      </c>
      <c r="B62" s="38">
        <f t="shared" si="0"/>
        <v>0.57999999999999996</v>
      </c>
      <c r="C62" s="39">
        <f t="shared" si="1"/>
        <v>133.33333333333317</v>
      </c>
      <c r="D62" s="42">
        <f t="shared" si="2"/>
        <v>13973.333333333332</v>
      </c>
      <c r="E62" s="39">
        <f t="shared" ca="1" si="3"/>
        <v>139052.295975232</v>
      </c>
      <c r="F62" s="59">
        <f ca="1">D62 - IF('Charging&gt;Miles'!$J$10 &gt; 15000, ('Charging&gt;Miles'!$J$10 - 15000) * 0.1 / 12 * A62, 0)</f>
        <v>-6498.9987306501607</v>
      </c>
    </row>
    <row r="63" spans="1:6" x14ac:dyDescent="0.25">
      <c r="A63" s="40">
        <v>60</v>
      </c>
      <c r="B63" s="40">
        <f t="shared" si="0"/>
        <v>0.57999999999999996</v>
      </c>
      <c r="C63" s="41">
        <f t="shared" si="1"/>
        <v>133.33333333333317</v>
      </c>
      <c r="D63" s="41">
        <f t="shared" si="2"/>
        <v>13839.999999999998</v>
      </c>
      <c r="E63" s="39">
        <f t="shared" ca="1" si="3"/>
        <v>141409.11455108339</v>
      </c>
      <c r="F63" s="59">
        <f ca="1">D63 - IF('Charging&gt;Miles'!$J$10 &gt; 15000, ('Charging&gt;Miles'!$J$10 - 15000) * 0.1 / 12 * A63, 0)</f>
        <v>-6979.3207430340608</v>
      </c>
    </row>
    <row r="64" spans="1:6" x14ac:dyDescent="0.25">
      <c r="A64" s="33"/>
      <c r="D64" s="34"/>
    </row>
    <row r="65" spans="1:4" x14ac:dyDescent="0.25">
      <c r="A65" s="35"/>
      <c r="B65" s="36"/>
      <c r="C65" s="36"/>
      <c r="D65" s="37"/>
    </row>
  </sheetData>
  <mergeCells count="3">
    <mergeCell ref="M1:P1"/>
    <mergeCell ref="A1:D1"/>
    <mergeCell ref="H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A2A2-F221-4F86-A9AA-F7E4AC310C3A}">
  <dimension ref="K1:K2"/>
  <sheetViews>
    <sheetView workbookViewId="0">
      <selection activeCell="L1" sqref="L1"/>
    </sheetView>
  </sheetViews>
  <sheetFormatPr defaultRowHeight="15" x14ac:dyDescent="0.25"/>
  <cols>
    <col min="11" max="11" width="10.140625" customWidth="1"/>
  </cols>
  <sheetData>
    <row r="1" spans="11:11" x14ac:dyDescent="0.25">
      <c r="K1" s="26" t="s">
        <v>93</v>
      </c>
    </row>
    <row r="2" spans="11:11" x14ac:dyDescent="0.25">
      <c r="K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Vehicle_Input</vt:lpstr>
      <vt:lpstr>Outputs</vt:lpstr>
      <vt:lpstr>Amortization</vt:lpstr>
      <vt:lpstr>Charging&gt;Miles</vt:lpstr>
      <vt:lpstr>Hertz</vt:lpstr>
      <vt:lpstr>Depreciation</vt:lpstr>
      <vt:lpstr>Earnings&amp;Savings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Alan</dc:creator>
  <cp:lastModifiedBy>Brett Alan</cp:lastModifiedBy>
  <dcterms:created xsi:type="dcterms:W3CDTF">2024-12-12T17:23:51Z</dcterms:created>
  <dcterms:modified xsi:type="dcterms:W3CDTF">2025-01-16T17:20:52Z</dcterms:modified>
</cp:coreProperties>
</file>